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d144\Documents\RStudio\regression\Data\Homework\"/>
    </mc:Choice>
  </mc:AlternateContent>
  <bookViews>
    <workbookView xWindow="0" yWindow="0" windowWidth="10320" windowHeight="2535" firstSheet="1"/>
  </bookViews>
  <sheets>
    <sheet name="Input" sheetId="5" r:id="rId1"/>
    <sheet name="Balance Sheet" sheetId="1" r:id="rId2"/>
    <sheet name="Income Statement" sheetId="3" r:id="rId3"/>
    <sheet name="Calculate Ratios" sheetId="6" r:id="rId4"/>
    <sheet name="Common-size balance sheet" sheetId="7" r:id="rId5"/>
    <sheet name="Common-size income statement" sheetId="8" r:id="rId6"/>
    <sheet name="Statement of Cash Flows" sheetId="4" state="hidden" r:id="rId7"/>
  </sheets>
  <definedNames>
    <definedName name="complete">Input!$D$18</definedName>
    <definedName name="status">Input!$D$17</definedName>
    <definedName name="ticker">Input!$E$10</definedName>
  </definedNames>
  <calcPr calcId="162913"/>
</workbook>
</file>

<file path=xl/calcChain.xml><?xml version="1.0" encoding="utf-8"?>
<calcChain xmlns="http://schemas.openxmlformats.org/spreadsheetml/2006/main">
  <c r="F4" i="8" l="1"/>
  <c r="E4" i="8"/>
  <c r="D4" i="8"/>
  <c r="C2" i="8"/>
  <c r="F7" i="8"/>
  <c r="E7" i="8"/>
  <c r="D7" i="8"/>
  <c r="F6" i="8"/>
  <c r="E6" i="8"/>
  <c r="D6" i="8"/>
  <c r="B7" i="8"/>
  <c r="B6" i="8"/>
  <c r="B4" i="8"/>
  <c r="B3" i="8"/>
  <c r="B2" i="8"/>
  <c r="B34" i="8"/>
  <c r="B33" i="8"/>
  <c r="B32" i="8"/>
  <c r="C31" i="8"/>
  <c r="C30" i="8"/>
  <c r="C29" i="8"/>
  <c r="C28" i="8"/>
  <c r="C27" i="8"/>
  <c r="C25" i="8"/>
  <c r="C24" i="8"/>
  <c r="C23" i="8"/>
  <c r="C22" i="8"/>
  <c r="C21" i="8"/>
  <c r="C20" i="8"/>
  <c r="C19" i="8"/>
  <c r="C18" i="8"/>
  <c r="B16" i="8"/>
  <c r="C15" i="8"/>
  <c r="C14" i="8"/>
  <c r="C13" i="8"/>
  <c r="C12" i="8"/>
  <c r="C11" i="8"/>
  <c r="C10" i="8"/>
  <c r="B8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4" i="7"/>
  <c r="E4" i="7"/>
  <c r="B6" i="7"/>
  <c r="B4" i="7"/>
  <c r="B3" i="7"/>
  <c r="B2" i="7"/>
  <c r="D4" i="7"/>
  <c r="B7" i="7"/>
  <c r="C2" i="7"/>
  <c r="C27" i="7"/>
  <c r="C26" i="7"/>
  <c r="C25" i="7"/>
  <c r="F46" i="7"/>
  <c r="E46" i="7"/>
  <c r="D46" i="7"/>
  <c r="B46" i="7"/>
  <c r="F45" i="7"/>
  <c r="E45" i="7"/>
  <c r="D45" i="7"/>
  <c r="B45" i="7"/>
  <c r="F44" i="7"/>
  <c r="E44" i="7"/>
  <c r="D44" i="7"/>
  <c r="B44" i="7"/>
  <c r="F43" i="7"/>
  <c r="E43" i="7"/>
  <c r="D43" i="7"/>
  <c r="B43" i="7"/>
  <c r="F42" i="7"/>
  <c r="E42" i="7"/>
  <c r="D42" i="7"/>
  <c r="B42" i="7"/>
  <c r="F41" i="7"/>
  <c r="E41" i="7"/>
  <c r="D41" i="7"/>
  <c r="B41" i="7"/>
  <c r="F40" i="7"/>
  <c r="E40" i="7"/>
  <c r="D40" i="7"/>
  <c r="B40" i="7"/>
  <c r="F39" i="7"/>
  <c r="E39" i="7"/>
  <c r="D39" i="7"/>
  <c r="B39" i="7"/>
  <c r="F38" i="7"/>
  <c r="E38" i="7"/>
  <c r="D38" i="7"/>
  <c r="B38" i="7"/>
  <c r="F37" i="7"/>
  <c r="E37" i="7"/>
  <c r="D37" i="7"/>
  <c r="B37" i="7"/>
  <c r="B36" i="7"/>
  <c r="F34" i="7"/>
  <c r="E34" i="7"/>
  <c r="D34" i="7"/>
  <c r="B34" i="7"/>
  <c r="F33" i="7"/>
  <c r="E33" i="7"/>
  <c r="D33" i="7"/>
  <c r="B33" i="7"/>
  <c r="F32" i="7"/>
  <c r="E32" i="7"/>
  <c r="D32" i="7"/>
  <c r="B32" i="7"/>
  <c r="F31" i="7"/>
  <c r="E31" i="7"/>
  <c r="D31" i="7"/>
  <c r="B31" i="7"/>
  <c r="F30" i="7"/>
  <c r="E30" i="7"/>
  <c r="D30" i="7"/>
  <c r="B30" i="7"/>
  <c r="F29" i="7"/>
  <c r="E29" i="7"/>
  <c r="D29" i="7"/>
  <c r="B29" i="7"/>
  <c r="F28" i="7"/>
  <c r="E28" i="7"/>
  <c r="D28" i="7"/>
  <c r="B28" i="7"/>
  <c r="F27" i="7"/>
  <c r="E27" i="7"/>
  <c r="D27" i="7"/>
  <c r="F26" i="7"/>
  <c r="E26" i="7"/>
  <c r="D26" i="7"/>
  <c r="F25" i="7"/>
  <c r="E25" i="7"/>
  <c r="D25" i="7"/>
  <c r="B24" i="7"/>
  <c r="B23" i="7"/>
  <c r="F21" i="7"/>
  <c r="E21" i="7"/>
  <c r="F20" i="7"/>
  <c r="E20" i="7"/>
  <c r="F19" i="7"/>
  <c r="E19" i="7"/>
  <c r="F18" i="7"/>
  <c r="E18" i="7"/>
  <c r="F17" i="7"/>
  <c r="E17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F8" i="7"/>
  <c r="E8" i="7"/>
  <c r="B21" i="7"/>
  <c r="B20" i="7"/>
  <c r="B19" i="7"/>
  <c r="B18" i="7"/>
  <c r="B17" i="7"/>
  <c r="B16" i="7"/>
  <c r="B15" i="7"/>
  <c r="B14" i="7"/>
  <c r="B13" i="7"/>
  <c r="C12" i="7"/>
  <c r="C11" i="7"/>
  <c r="C10" i="7"/>
  <c r="C9" i="7"/>
  <c r="C8" i="7"/>
  <c r="D3" i="6" l="1"/>
  <c r="AH29" i="6" l="1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D45" i="6"/>
  <c r="AD44" i="6"/>
  <c r="AD43" i="6"/>
  <c r="AD42" i="6"/>
  <c r="AD41" i="6"/>
  <c r="AD40" i="6"/>
  <c r="AD39" i="6"/>
  <c r="AD38" i="6"/>
  <c r="AD37" i="6"/>
  <c r="AD36" i="6"/>
  <c r="AD35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D13" i="6"/>
  <c r="AD12" i="6"/>
  <c r="AD11" i="6"/>
  <c r="AD10" i="6"/>
  <c r="AD9" i="6"/>
  <c r="AD8" i="6"/>
  <c r="AD7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A11" i="6" l="1"/>
  <c r="E11" i="6" s="1"/>
  <c r="AA13" i="6"/>
  <c r="E13" i="6" s="1"/>
  <c r="AA16" i="6"/>
  <c r="E16" i="6" s="1"/>
  <c r="AA29" i="6"/>
  <c r="E29" i="6" s="1"/>
  <c r="AA31" i="6"/>
  <c r="E31" i="6" s="1"/>
  <c r="AA9" i="6"/>
  <c r="E9" i="6" s="1"/>
  <c r="AA7" i="6"/>
  <c r="E7" i="6" s="1"/>
  <c r="AA33" i="6"/>
  <c r="E33" i="6" s="1"/>
  <c r="AA20" i="6"/>
  <c r="E20" i="6" s="1"/>
  <c r="AA14" i="6"/>
  <c r="E14" i="6" s="1"/>
  <c r="AA18" i="6"/>
  <c r="E18" i="6" s="1"/>
  <c r="AA23" i="6"/>
  <c r="E23" i="6" s="1"/>
  <c r="AA19" i="6"/>
  <c r="E19" i="6" s="1"/>
  <c r="AA15" i="6"/>
  <c r="E15" i="6" s="1"/>
  <c r="AA6" i="6"/>
  <c r="E6" i="6" s="1"/>
  <c r="AA8" i="6"/>
  <c r="E8" i="6" s="1"/>
  <c r="AA10" i="6"/>
  <c r="E10" i="6" s="1"/>
  <c r="AA12" i="6"/>
  <c r="E12" i="6" s="1"/>
  <c r="AA17" i="6"/>
  <c r="E17" i="6" s="1"/>
  <c r="AA22" i="6"/>
  <c r="E22" i="6" s="1"/>
  <c r="AA24" i="6"/>
  <c r="E24" i="6" s="1"/>
  <c r="AA30" i="6"/>
  <c r="E30" i="6" s="1"/>
  <c r="AA32" i="6"/>
  <c r="E32" i="6" s="1"/>
  <c r="AA21" i="6"/>
  <c r="E21" i="6" s="1"/>
</calcChain>
</file>

<file path=xl/sharedStrings.xml><?xml version="1.0" encoding="utf-8"?>
<sst xmlns="http://schemas.openxmlformats.org/spreadsheetml/2006/main" count="235" uniqueCount="161">
  <si>
    <t>Period Ending</t>
  </si>
  <si>
    <t>Assets</t>
  </si>
  <si>
    <t>Current Assets</t>
  </si>
  <si>
    <t>Cash and Cash Equivalent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</si>
  <si>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</si>
  <si>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</si>
  <si>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</si>
  <si>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</si>
  <si>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</si>
  <si>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</si>
  <si>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</si>
  <si>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</si>
  <si>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</si>
  <si>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</si>
  <si>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</si>
  <si>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</si>
  <si>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</si>
  <si>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</si>
  <si>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</si>
  <si>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Long Term Debt</t>
  </si>
  <si>
    <t>Short/Current Long Term Debt</t>
  </si>
  <si>
    <t>Other Current Liabilities</t>
  </si>
  <si>
    <t>Total Current Liabilities</t>
  </si>
  <si>
    <t>Other Liabilities</t>
  </si>
  <si>
    <t>Deferred Long Term Liability Charges</t>
  </si>
  <si>
    <t>Minority Interest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</si>
  <si>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</si>
  <si>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</si>
  <si>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</si>
  <si>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</si>
  <si>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</si>
  <si>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</si>
  <si>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</si>
  <si>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</si>
  <si>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</si>
  <si>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</si>
  <si>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</si>
  <si>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</si>
  <si>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</si>
  <si>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Accounts Payable</t>
  </si>
  <si>
    <t>Ticker</t>
  </si>
  <si>
    <t>Total Revenue</t>
  </si>
  <si>
    <t>Cost of Revenue</t>
  </si>
  <si>
    <t>Gross Profit</t>
  </si>
  <si>
    <t>Operating Expenses</t>
  </si>
  <si>
    <t>Research &amp; Development</t>
  </si>
  <si>
    <t>Selling, General, &amp;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</si>
  <si>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</si>
  <si>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</si>
  <si>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</si>
  <si>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</si>
  <si>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</si>
  <si>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</si>
  <si>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</si>
  <si>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</si>
  <si>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</si>
  <si>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</si>
  <si>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</si>
  <si>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</si>
  <si>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</si>
  <si>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</si>
  <si>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</si>
  <si>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</si>
  <si>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</si>
  <si>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</si>
  <si>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</si>
  <si>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</si>
  <si>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</si>
  <si>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</si>
  <si>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</si>
  <si>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</si>
  <si>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</si>
  <si>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</si>
  <si>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</si>
  <si>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</si>
  <si>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</si>
  <si>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</si>
  <si>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 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</si>
  <si>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</si>
  <si>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</si>
  <si>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</si>
  <si>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</si>
  <si>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</si>
  <si>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</si>
  <si>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</si>
  <si>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>Effect of Exchange Rate Changes</t>
  </si>
  <si>
    <t>Change in Cash and Cash Equivalents</t>
  </si>
  <si>
    <t>Instructions</t>
  </si>
  <si>
    <t>2. Click 'Get Financial Statements'</t>
  </si>
  <si>
    <t>Notes</t>
  </si>
  <si>
    <t>http://finance.yahoo.com</t>
  </si>
  <si>
    <t>1. Financial statement data from:</t>
  </si>
  <si>
    <t>You must be connected to the internet to run this</t>
  </si>
  <si>
    <t>2. You must have Internet Explorer installed</t>
  </si>
  <si>
    <t>1. Type valid ticker in 'Ticker' (cell D7), eg. 'F', 'GS', etc</t>
  </si>
  <si>
    <t>Program Status:</t>
  </si>
  <si>
    <t xml:space="preserve">3.  The following 4 sheets show summary financial </t>
  </si>
  <si>
    <t>statements and calculate the cash conversion cycle.</t>
  </si>
  <si>
    <t>Return on capital =</t>
  </si>
  <si>
    <t>(after-tax interest + net income)/total capital =</t>
  </si>
  <si>
    <t>Return on equity =</t>
  </si>
  <si>
    <t>net income/equity =</t>
  </si>
  <si>
    <t>Return on assets =</t>
  </si>
  <si>
    <t>(after-tax interest + net income)/total assets =</t>
  </si>
  <si>
    <t>Asset turnover =</t>
  </si>
  <si>
    <t>sales/total assets at start of year =</t>
  </si>
  <si>
    <t>Inventory turnover =</t>
  </si>
  <si>
    <t>cost of goods sold/inventory at start of year =</t>
  </si>
  <si>
    <t>Average days in inventory =</t>
  </si>
  <si>
    <t>inventory at start of year/daily cost of goods sold =</t>
  </si>
  <si>
    <t>Average collection period (days) =</t>
  </si>
  <si>
    <t>Profit margin =</t>
  </si>
  <si>
    <t>Operating profit margin =</t>
  </si>
  <si>
    <t>Long-term debt ratio =</t>
  </si>
  <si>
    <t>Long-term debt-equity ratio =</t>
  </si>
  <si>
    <t>Total debt ratio =</t>
  </si>
  <si>
    <t>Times-interest earned</t>
  </si>
  <si>
    <t>Cash coverage ratio =</t>
  </si>
  <si>
    <t>Current ratio =</t>
  </si>
  <si>
    <t>Quick ratio =</t>
  </si>
  <si>
    <t>Cash ratio =</t>
  </si>
  <si>
    <t>Receivables turnover =</t>
  </si>
  <si>
    <t>current assets/current liabilities =</t>
  </si>
  <si>
    <t>(cash + marketable securities + receivables)/current liabilities =</t>
  </si>
  <si>
    <t>sales/receivables at start of year =</t>
  </si>
  <si>
    <t>receivables at start of year/daily sales =</t>
  </si>
  <si>
    <t>net income/sales =</t>
  </si>
  <si>
    <t>(after-tax interest + net income)/sales =</t>
  </si>
  <si>
    <t>long-term debt/(long-term debt + equity) =</t>
  </si>
  <si>
    <t>long-term debt/equity =</t>
  </si>
  <si>
    <t>total liabilities/total assets =</t>
  </si>
  <si>
    <t>EBIT/interest payments =</t>
  </si>
  <si>
    <t>net working capital/total assets =</t>
  </si>
  <si>
    <t>(EBIT + depreciation)/ interest payments =</t>
  </si>
  <si>
    <t>Net-working capital-to-total-assets =</t>
  </si>
  <si>
    <t>(cash + marketable securities)/current liabilities =</t>
  </si>
  <si>
    <t xml:space="preserve">     Financial ratios for: </t>
  </si>
  <si>
    <t xml:space="preserve">We noted in Section 28.4 that, where a flow measure (e.g., sales) is being compared with a snapshot measure (e.g.,assets </t>
  </si>
  <si>
    <t xml:space="preserve">recalculate these ratios below using the average of beginning- and end-year figures: </t>
  </si>
  <si>
    <t>sales/average assets =</t>
  </si>
  <si>
    <t>cost of goods sold/average inventory  =</t>
  </si>
  <si>
    <t>average inventory/daily cost of goods sold =</t>
  </si>
  <si>
    <t>sales/average receivables =</t>
  </si>
  <si>
    <t>average receivables/daily sales =</t>
  </si>
  <si>
    <t>FINANCIAL RATIOS</t>
  </si>
  <si>
    <t>rr</t>
  </si>
  <si>
    <t>at a point in time), it is frequently preferable to use an average of the  beginning- and end-year figures.  We</t>
  </si>
  <si>
    <t xml:space="preserve"> Download the financial statements for a U.S. non-financial company and calculate its financial ratios.</t>
  </si>
  <si>
    <r>
      <t xml:space="preserve">Note:  </t>
    </r>
    <r>
      <rPr>
        <sz val="11"/>
        <color theme="1"/>
        <rFont val="Calibri"/>
        <family val="2"/>
        <scheme val="minor"/>
      </rPr>
      <t>If an item in the financial statements is shown as a blank, it is either treated as zero or missing in the calculations</t>
    </r>
  </si>
  <si>
    <t>b/s</t>
  </si>
  <si>
    <t>income</t>
  </si>
  <si>
    <t>cash flow</t>
  </si>
  <si>
    <t>****************** We are very grateful to Darien Huang for providing this software ***************</t>
  </si>
  <si>
    <t xml:space="preserve">-  </t>
  </si>
  <si>
    <t>All numbers in thousands</t>
  </si>
  <si>
    <t>Currency in USD</t>
  </si>
  <si>
    <t>&lt;&lt;download complete&gt;&gt;</t>
  </si>
  <si>
    <t>KO</t>
  </si>
  <si>
    <t>Balance Sheet for The Coca</t>
  </si>
  <si>
    <t>Income Statement for The Coca</t>
  </si>
  <si>
    <t>Statement of Cash Flows for The Coca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</si>
</sst>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[$-F800]dddd\,\ mmmm\ dd\,\ 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 style="slantDashDot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0" xfId="0" applyFill="1" applyBorder="1"/>
    <xf numFmtId="0" fontId="0" fillId="3" borderId="16" xfId="0" applyFill="1" applyBorder="1"/>
    <xf numFmtId="3" fontId="0" fillId="3" borderId="0" xfId="0" applyNumberFormat="1" applyFill="1" applyBorder="1" applyAlignment="1">
      <alignment horizontal="left"/>
    </xf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0" xfId="0" applyFill="1" applyProtection="1"/>
    <xf numFmtId="0" fontId="0" fillId="3" borderId="10" xfId="0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0" fillId="3" borderId="0" xfId="0" applyFill="1" applyBorder="1" applyProtection="1"/>
    <xf numFmtId="0" fontId="0" fillId="3" borderId="6" xfId="0" applyFill="1" applyBorder="1" applyProtection="1"/>
    <xf numFmtId="0" fontId="0" fillId="3" borderId="7" xfId="0" applyFill="1" applyBorder="1" applyProtection="1"/>
    <xf numFmtId="0" fontId="4" fillId="3" borderId="0" xfId="0" applyFont="1" applyFill="1" applyBorder="1" applyProtection="1"/>
    <xf numFmtId="0" fontId="0" fillId="3" borderId="8" xfId="0" applyFill="1" applyBorder="1" applyProtection="1"/>
    <xf numFmtId="164" fontId="9" fillId="3" borderId="3" xfId="0" applyNumberFormat="1" applyFont="1" applyFill="1" applyBorder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quotePrefix="1" applyFont="1" applyFill="1" applyBorder="1" applyAlignment="1" applyProtection="1">
      <alignment horizontal="left"/>
    </xf>
    <xf numFmtId="0" fontId="10" fillId="3" borderId="0" xfId="0" applyFont="1" applyFill="1" applyBorder="1" applyProtection="1"/>
    <xf numFmtId="0" fontId="6" fillId="3" borderId="0" xfId="0" applyFont="1" applyFill="1" applyBorder="1" applyProtection="1"/>
    <xf numFmtId="0" fontId="7" fillId="3" borderId="0" xfId="1" applyFont="1" applyFill="1" applyBorder="1" applyProtection="1"/>
    <xf numFmtId="0" fontId="0" fillId="3" borderId="9" xfId="0" applyFill="1" applyBorder="1" applyProtection="1"/>
    <xf numFmtId="0" fontId="0" fillId="3" borderId="11" xfId="0" applyFill="1" applyBorder="1" applyProtection="1"/>
    <xf numFmtId="0" fontId="0" fillId="2" borderId="0" xfId="0" applyFill="1" applyProtection="1"/>
    <xf numFmtId="0" fontId="0" fillId="2" borderId="0" xfId="0" applyFill="1" applyBorder="1"/>
    <xf numFmtId="164" fontId="9" fillId="4" borderId="2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15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2" fontId="0" fillId="3" borderId="0" xfId="0" applyNumberFormat="1" applyFill="1" applyBorder="1" applyAlignment="1">
      <alignment horizontal="left"/>
    </xf>
    <xf numFmtId="2" fontId="0" fillId="3" borderId="0" xfId="0" applyNumberFormat="1" applyFill="1"/>
    <xf numFmtId="0" fontId="1" fillId="3" borderId="0" xfId="0" applyFont="1" applyFill="1" applyBorder="1" applyAlignment="1">
      <alignment horizontal="right"/>
    </xf>
    <xf numFmtId="0" fontId="12" fillId="2" borderId="0" xfId="0" applyFont="1" applyFill="1" applyProtection="1"/>
    <xf numFmtId="0" fontId="11" fillId="2" borderId="0" xfId="0" applyFont="1" applyFill="1" applyBorder="1"/>
    <xf numFmtId="0" fontId="3" fillId="3" borderId="13" xfId="0" applyFont="1" applyFill="1" applyBorder="1"/>
    <xf numFmtId="10" fontId="0" fillId="3" borderId="0" xfId="0" applyNumberFormat="1" applyFill="1"/>
    <xf numFmtId="2" fontId="0" fillId="3" borderId="0" xfId="0" applyNumberFormat="1" applyFill="1" applyBorder="1" applyAlignment="1">
      <alignment horizontal="right"/>
    </xf>
    <xf numFmtId="2" fontId="0" fillId="3" borderId="0" xfId="0" applyNumberFormat="1" applyFill="1" applyAlignment="1">
      <alignment horizontal="right"/>
    </xf>
    <xf numFmtId="0" fontId="0" fillId="3" borderId="13" xfId="0" applyFill="1" applyBorder="1" applyProtection="1"/>
    <xf numFmtId="0" fontId="0" fillId="3" borderId="18" xfId="0" applyFill="1" applyBorder="1" applyProtection="1"/>
    <xf numFmtId="0" fontId="0" fillId="3" borderId="14" xfId="0" applyFill="1" applyBorder="1" applyProtection="1"/>
    <xf numFmtId="0" fontId="0" fillId="3" borderId="16" xfId="0" applyFill="1" applyBorder="1" applyProtection="1"/>
    <xf numFmtId="0" fontId="0" fillId="3" borderId="19" xfId="0" applyFill="1" applyBorder="1" applyProtection="1"/>
    <xf numFmtId="0" fontId="0" fillId="2" borderId="0" xfId="0" applyFill="1" applyProtection="1">
      <protection locked="0"/>
    </xf>
    <xf numFmtId="0" fontId="3" fillId="2" borderId="0" xfId="0" applyFont="1" applyFill="1" applyAlignment="1">
      <alignment horizontal="right"/>
    </xf>
    <xf numFmtId="0" fontId="1" fillId="2" borderId="0" xfId="0" applyFont="1" applyFill="1"/>
    <xf numFmtId="0" fontId="1" fillId="2" borderId="0" xfId="0" applyFont="1" applyFill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/>
    <xf numFmtId="0" fontId="0" fillId="2" borderId="0" xfId="0" applyFont="1" applyFill="1" applyProtection="1">
      <protection locked="0"/>
    </xf>
    <xf numFmtId="3" fontId="0" fillId="2" borderId="0" xfId="0" applyNumberFormat="1" applyFill="1" applyProtection="1">
      <protection locked="0"/>
    </xf>
    <xf numFmtId="0" fontId="0" fillId="3" borderId="0" xfId="0" applyFill="1"/>
    <xf numFmtId="0" fontId="1" fillId="3" borderId="0" xfId="0" applyFont="1" applyFill="1"/>
    <xf numFmtId="0" fontId="1" fillId="3" borderId="0" xfId="0" applyFont="1" applyFill="1" applyBorder="1"/>
    <xf numFmtId="0" fontId="0" fillId="3" borderId="0" xfId="0" applyFont="1" applyFill="1"/>
    <xf numFmtId="164" fontId="2" fillId="3" borderId="3" xfId="0" applyNumberFormat="1" applyFont="1" applyFill="1" applyBorder="1" applyAlignment="1" applyProtection="1">
      <alignment horizontal="center"/>
    </xf>
    <xf numFmtId="164" fontId="2" fillId="3" borderId="2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3" fillId="3" borderId="0" xfId="0" applyFont="1" applyFill="1" applyAlignment="1" applyProtection="1">
      <alignment horizontal="right"/>
      <protection locked="0"/>
    </xf>
    <xf numFmtId="0" fontId="1" fillId="3" borderId="0" xfId="0" applyFont="1" applyFill="1" applyAlignment="1"/>
    <xf numFmtId="15" fontId="1" fillId="3" borderId="0" xfId="0" applyNumberFormat="1" applyFont="1" applyFill="1" applyProtection="1">
      <protection locked="0"/>
    </xf>
    <xf numFmtId="37" fontId="1" fillId="3" borderId="0" xfId="0" applyNumberFormat="1" applyFont="1" applyFill="1" applyProtection="1">
      <protection locked="0"/>
    </xf>
    <xf numFmtId="37" fontId="0" fillId="3" borderId="0" xfId="0" applyNumberFormat="1" applyFill="1" applyProtection="1">
      <protection locked="0"/>
    </xf>
    <xf numFmtId="0" fontId="1" fillId="3" borderId="1" xfId="0" applyFont="1" applyFill="1" applyBorder="1"/>
    <xf numFmtId="37" fontId="1" fillId="3" borderId="1" xfId="0" applyNumberFormat="1" applyFont="1" applyFill="1" applyBorder="1" applyProtection="1">
      <protection locked="0"/>
    </xf>
    <xf numFmtId="37" fontId="0" fillId="3" borderId="0" xfId="0" applyNumberFormat="1" applyFont="1" applyFill="1" applyProtection="1">
      <protection locked="0"/>
    </xf>
    <xf numFmtId="3" fontId="0" fillId="3" borderId="0" xfId="0" applyNumberFormat="1" applyFill="1" applyProtection="1">
      <protection locked="0"/>
    </xf>
    <xf numFmtId="3" fontId="0" fillId="2" borderId="0" xfId="0" applyNumberFormat="1" applyFont="1" applyFill="1" applyProtection="1">
      <protection locked="0"/>
    </xf>
    <xf numFmtId="3" fontId="1" fillId="2" borderId="0" xfId="0" applyNumberFormat="1" applyFont="1" applyFill="1" applyProtection="1">
      <protection locked="0"/>
    </xf>
    <xf numFmtId="37" fontId="1" fillId="3" borderId="0" xfId="0" applyNumberFormat="1" applyFont="1" applyFill="1" applyBorder="1" applyProtection="1">
      <protection locked="0"/>
    </xf>
    <xf numFmtId="0" fontId="0" fillId="3" borderId="0" xfId="0" applyFont="1" applyFill="1" applyBorder="1"/>
    <xf numFmtId="3" fontId="0" fillId="3" borderId="0" xfId="0" applyNumberFormat="1" applyFill="1"/>
    <xf numFmtId="3" fontId="1" fillId="3" borderId="0" xfId="0" applyNumberFormat="1" applyFont="1" applyFill="1" applyProtection="1">
      <protection locked="0"/>
    </xf>
    <xf numFmtId="0" fontId="1" fillId="2" borderId="0" xfId="0" applyFont="1" applyFill="1" applyAlignment="1" applyProtection="1">
      <protection locked="0"/>
    </xf>
    <xf numFmtId="0" fontId="1" fillId="3" borderId="0" xfId="0" applyFont="1" applyFill="1" applyProtection="1">
      <protection locked="0"/>
    </xf>
    <xf numFmtId="0" fontId="1" fillId="3" borderId="0" xfId="0" applyFont="1" applyFill="1" applyAlignment="1" applyProtection="1"/>
    <xf numFmtId="0" fontId="0" fillId="3" borderId="0" xfId="0" applyFont="1" applyFill="1" applyProtection="1"/>
    <xf numFmtId="0" fontId="1" fillId="3" borderId="0" xfId="0" applyFont="1" applyFill="1" applyProtection="1"/>
    <xf numFmtId="0" fontId="1" fillId="3" borderId="1" xfId="0" applyFont="1" applyFill="1" applyBorder="1" applyProtection="1"/>
    <xf numFmtId="0" fontId="12" fillId="2" borderId="0" xfId="0" applyFont="1" applyFill="1"/>
    <xf numFmtId="37" fontId="12" fillId="2" borderId="0" xfId="0" applyNumberFormat="1" applyFont="1" applyFill="1"/>
    <xf numFmtId="0" fontId="1" fillId="3" borderId="12" xfId="0" applyFont="1" applyFill="1" applyBorder="1"/>
    <xf numFmtId="0" fontId="1" fillId="3" borderId="15" xfId="0" applyFont="1" applyFill="1" applyBorder="1"/>
    <xf numFmtId="0" fontId="3" fillId="3" borderId="17" xfId="0" applyFont="1" applyFill="1" applyBorder="1"/>
    <xf numFmtId="0" fontId="1" fillId="3" borderId="13" xfId="0" applyFont="1" applyFill="1" applyBorder="1"/>
    <xf numFmtId="0" fontId="3" fillId="3" borderId="18" xfId="0" applyFont="1" applyFill="1" applyBorder="1"/>
    <xf numFmtId="166" fontId="1" fillId="3" borderId="0" xfId="0" applyNumberFormat="1" applyFont="1" applyFill="1" applyBorder="1"/>
    <xf numFmtId="166" fontId="1" fillId="3" borderId="18" xfId="0" applyNumberFormat="1" applyFont="1" applyFill="1" applyBorder="1"/>
    <xf numFmtId="165" fontId="1" fillId="3" borderId="0" xfId="0" applyNumberFormat="1" applyFont="1" applyFill="1" applyBorder="1"/>
    <xf numFmtId="165" fontId="1" fillId="3" borderId="18" xfId="0" applyNumberFormat="1" applyFont="1" applyFill="1" applyBorder="1"/>
    <xf numFmtId="165" fontId="0" fillId="3" borderId="0" xfId="0" applyNumberFormat="1" applyFill="1" applyBorder="1"/>
    <xf numFmtId="165" fontId="0" fillId="3" borderId="18" xfId="0" applyNumberFormat="1" applyFill="1" applyBorder="1"/>
    <xf numFmtId="0" fontId="1" fillId="3" borderId="14" xfId="0" applyFont="1" applyFill="1" applyBorder="1"/>
    <xf numFmtId="165" fontId="1" fillId="3" borderId="16" xfId="0" applyNumberFormat="1" applyFont="1" applyFill="1" applyBorder="1"/>
    <xf numFmtId="165" fontId="1" fillId="3" borderId="19" xfId="0" applyNumberFormat="1" applyFont="1" applyFill="1" applyBorder="1"/>
    <xf numFmtId="0" fontId="0" fillId="3" borderId="0" xfId="0" quotePrefix="1" applyFill="1" applyBorder="1"/>
    <xf numFmtId="165" fontId="0" fillId="3" borderId="16" xfId="0" applyNumberFormat="1" applyFill="1" applyBorder="1"/>
    <xf numFmtId="165" fontId="0" fillId="3" borderId="19" xfId="0" applyNumberFormat="1" applyFill="1" applyBorder="1"/>
    <xf numFmtId="0" fontId="0" fillId="3" borderId="13" xfId="0" applyFill="1" applyBorder="1" applyAlignment="1" applyProtection="1">
      <alignment horizontal="center"/>
    </xf>
    <xf numFmtId="0" fontId="0" fillId="3" borderId="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1" fillId="3" borderId="12" xfId="0" applyFont="1" applyFill="1" applyBorder="1" applyAlignment="1" applyProtection="1">
      <alignment horizontal="center"/>
    </xf>
    <xf numFmtId="0" fontId="1" fillId="0" borderId="1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8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85725</xdr:rowOff>
        </xdr:from>
        <xdr:to>
          <xdr:col>4</xdr:col>
          <xdr:colOff>609600</xdr:colOff>
          <xdr:row>14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Financial Statements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inance.yahoo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K24"/>
  <sheetViews>
    <sheetView showGridLines="0" showRowColHeaders="0" tabSelected="1" workbookViewId="0">
      <selection activeCell="E10" sqref="E10"/>
    </sheetView>
  </sheetViews>
  <sheetFormatPr defaultColWidth="9.1328125" defaultRowHeight="14.25" x14ac:dyDescent="0.45"/>
  <cols>
    <col min="1" max="1" width="16.265625" style="29" customWidth="1"/>
    <col min="2" max="2" width="13.1328125" style="29" customWidth="1"/>
    <col min="3" max="3" width="2.86328125" style="29" customWidth="1"/>
    <col min="4" max="4" width="9.1328125" style="29" customWidth="1"/>
    <col min="5" max="5" width="9.73046875" style="29" customWidth="1"/>
    <col min="6" max="6" width="5.59765625" style="29" customWidth="1"/>
    <col min="7" max="7" width="9.3984375" style="29" customWidth="1"/>
    <col min="8" max="8" width="30" style="29" customWidth="1"/>
    <col min="9" max="9" width="8.86328125" style="29" customWidth="1"/>
    <col min="10" max="10" width="9.1328125" style="29"/>
    <col min="11" max="11" width="6.59765625" style="29" customWidth="1"/>
    <col min="12" max="16384" width="9.1328125" style="29"/>
  </cols>
  <sheetData>
    <row r="2" spans="2:11" x14ac:dyDescent="0.45">
      <c r="C2" s="40" t="s">
        <v>145</v>
      </c>
    </row>
    <row r="3" spans="2:11" x14ac:dyDescent="0.45">
      <c r="B3" s="109" t="s">
        <v>144</v>
      </c>
      <c r="C3" s="110"/>
      <c r="D3" s="110"/>
      <c r="E3" s="110"/>
      <c r="F3" s="110"/>
      <c r="G3" s="110"/>
      <c r="H3" s="110"/>
      <c r="I3" s="110"/>
      <c r="J3" s="110"/>
      <c r="K3" s="111"/>
    </row>
    <row r="4" spans="2:11" x14ac:dyDescent="0.45">
      <c r="B4" s="46"/>
      <c r="C4" s="16"/>
      <c r="D4" s="16"/>
      <c r="E4" s="16"/>
      <c r="F4" s="16"/>
      <c r="G4" s="16"/>
      <c r="H4" s="16"/>
      <c r="I4" s="16"/>
      <c r="J4" s="16"/>
      <c r="K4" s="47"/>
    </row>
    <row r="5" spans="2:11" x14ac:dyDescent="0.45">
      <c r="B5" s="106" t="s">
        <v>147</v>
      </c>
      <c r="C5" s="107"/>
      <c r="D5" s="107"/>
      <c r="E5" s="107"/>
      <c r="F5" s="107"/>
      <c r="G5" s="107"/>
      <c r="H5" s="107"/>
      <c r="I5" s="107"/>
      <c r="J5" s="107"/>
      <c r="K5" s="108"/>
    </row>
    <row r="6" spans="2:11" x14ac:dyDescent="0.45">
      <c r="B6" s="46"/>
      <c r="C6" s="16"/>
      <c r="D6" s="16"/>
      <c r="E6" s="16"/>
      <c r="F6" s="16"/>
      <c r="G6" s="16"/>
      <c r="H6" s="16"/>
      <c r="I6" s="16"/>
      <c r="J6" s="16"/>
      <c r="K6" s="47"/>
    </row>
    <row r="7" spans="2:11" ht="14.65" thickBot="1" x14ac:dyDescent="0.5">
      <c r="B7" s="46"/>
      <c r="C7" s="16"/>
      <c r="D7" s="16"/>
      <c r="E7" s="16"/>
      <c r="F7" s="16"/>
      <c r="G7" s="16"/>
      <c r="H7" s="13"/>
      <c r="I7" s="16"/>
      <c r="J7" s="16"/>
      <c r="K7" s="47"/>
    </row>
    <row r="8" spans="2:11" x14ac:dyDescent="0.45">
      <c r="B8" s="46"/>
      <c r="C8" s="14"/>
      <c r="D8" s="15"/>
      <c r="E8" s="15"/>
      <c r="F8" s="15"/>
      <c r="G8" s="15"/>
      <c r="H8" s="16"/>
      <c r="I8" s="17"/>
      <c r="J8" s="16"/>
      <c r="K8" s="47"/>
    </row>
    <row r="9" spans="2:11" ht="14.65" thickBot="1" x14ac:dyDescent="0.5">
      <c r="B9" s="46"/>
      <c r="C9" s="18"/>
      <c r="D9" s="16"/>
      <c r="E9" s="16"/>
      <c r="F9" s="16"/>
      <c r="G9" s="19" t="s">
        <v>87</v>
      </c>
      <c r="H9" s="16"/>
      <c r="I9" s="20"/>
      <c r="J9" s="16"/>
      <c r="K9" s="47"/>
    </row>
    <row r="10" spans="2:11" ht="18.75" thickTop="1" thickBot="1" x14ac:dyDescent="0.6">
      <c r="B10" s="46"/>
      <c r="C10" s="18"/>
      <c r="D10" s="21" t="s">
        <v>40</v>
      </c>
      <c r="E10" s="31" t="s">
        <v>157</v>
      </c>
      <c r="F10" s="16"/>
      <c r="G10" s="22" t="s">
        <v>94</v>
      </c>
      <c r="H10" s="16"/>
      <c r="I10" s="20"/>
      <c r="J10" s="16"/>
      <c r="K10" s="47"/>
    </row>
    <row r="11" spans="2:11" ht="14.65" thickTop="1" x14ac:dyDescent="0.45">
      <c r="B11" s="46"/>
      <c r="C11" s="18"/>
      <c r="D11" s="16"/>
      <c r="E11" s="16"/>
      <c r="F11" s="16"/>
      <c r="G11" s="22" t="s">
        <v>88</v>
      </c>
      <c r="H11" s="16"/>
      <c r="I11" s="20"/>
      <c r="J11" s="16"/>
      <c r="K11" s="47"/>
    </row>
    <row r="12" spans="2:11" x14ac:dyDescent="0.45">
      <c r="B12" s="46"/>
      <c r="C12" s="18"/>
      <c r="D12" s="16"/>
      <c r="E12" s="16"/>
      <c r="F12" s="16"/>
      <c r="G12" s="22" t="s">
        <v>96</v>
      </c>
      <c r="H12" s="16"/>
      <c r="I12" s="20"/>
      <c r="J12" s="16"/>
      <c r="K12" s="47"/>
    </row>
    <row r="13" spans="2:11" x14ac:dyDescent="0.45">
      <c r="B13" s="46"/>
      <c r="C13" s="18"/>
      <c r="D13" s="16"/>
      <c r="E13" s="16"/>
      <c r="F13" s="16"/>
      <c r="G13" s="23" t="s">
        <v>97</v>
      </c>
      <c r="H13" s="16"/>
      <c r="I13" s="20"/>
      <c r="J13" s="16"/>
      <c r="K13" s="47"/>
    </row>
    <row r="14" spans="2:11" x14ac:dyDescent="0.45">
      <c r="B14" s="46"/>
      <c r="C14" s="18"/>
      <c r="D14" s="16"/>
      <c r="E14" s="16"/>
      <c r="F14" s="16"/>
      <c r="G14" s="16"/>
      <c r="H14" s="16"/>
      <c r="I14" s="20"/>
      <c r="J14" s="16"/>
      <c r="K14" s="47"/>
    </row>
    <row r="15" spans="2:11" x14ac:dyDescent="0.45">
      <c r="B15" s="46"/>
      <c r="C15" s="18"/>
      <c r="D15" s="16"/>
      <c r="E15" s="16"/>
      <c r="F15" s="16"/>
      <c r="G15" s="19" t="s">
        <v>89</v>
      </c>
      <c r="H15" s="16"/>
      <c r="I15" s="20"/>
      <c r="J15" s="16"/>
      <c r="K15" s="47"/>
    </row>
    <row r="16" spans="2:11" x14ac:dyDescent="0.45">
      <c r="B16" s="46"/>
      <c r="C16" s="18"/>
      <c r="D16" s="24" t="s">
        <v>95</v>
      </c>
      <c r="E16" s="16"/>
      <c r="F16" s="16"/>
      <c r="G16" s="22" t="s">
        <v>91</v>
      </c>
      <c r="H16" s="16"/>
      <c r="I16" s="20"/>
      <c r="J16" s="16"/>
      <c r="K16" s="47"/>
    </row>
    <row r="17" spans="2:11" x14ac:dyDescent="0.45">
      <c r="B17" s="46"/>
      <c r="C17" s="18"/>
      <c r="D17" s="25"/>
      <c r="E17" s="16"/>
      <c r="F17" s="16"/>
      <c r="G17" s="25"/>
      <c r="H17" s="26" t="s">
        <v>90</v>
      </c>
      <c r="I17" s="20"/>
      <c r="J17" s="16"/>
      <c r="K17" s="47"/>
    </row>
    <row r="18" spans="2:11" x14ac:dyDescent="0.45">
      <c r="B18" s="46"/>
      <c r="C18" s="18"/>
      <c r="D18" s="25" t="s">
        <v>156</v>
      </c>
      <c r="E18" s="16"/>
      <c r="F18" s="16"/>
      <c r="G18" s="22" t="s">
        <v>93</v>
      </c>
      <c r="H18" s="16"/>
      <c r="I18" s="20"/>
      <c r="J18" s="16"/>
      <c r="K18" s="47"/>
    </row>
    <row r="19" spans="2:11" x14ac:dyDescent="0.45">
      <c r="B19" s="46"/>
      <c r="C19" s="18"/>
      <c r="D19" s="16"/>
      <c r="E19" s="16"/>
      <c r="F19" s="16"/>
      <c r="G19" s="16"/>
      <c r="H19" s="22"/>
      <c r="I19" s="20"/>
      <c r="J19" s="16"/>
      <c r="K19" s="47"/>
    </row>
    <row r="20" spans="2:11" x14ac:dyDescent="0.45">
      <c r="B20" s="46"/>
      <c r="C20" s="18"/>
      <c r="D20" s="16"/>
      <c r="E20" s="16"/>
      <c r="F20" s="16"/>
      <c r="G20" s="25" t="s">
        <v>92</v>
      </c>
      <c r="H20" s="16"/>
      <c r="I20" s="20"/>
      <c r="J20" s="16"/>
      <c r="K20" s="47"/>
    </row>
    <row r="21" spans="2:11" ht="14.65" thickBot="1" x14ac:dyDescent="0.5">
      <c r="B21" s="46"/>
      <c r="C21" s="27"/>
      <c r="D21" s="13"/>
      <c r="E21" s="13"/>
      <c r="F21" s="13"/>
      <c r="G21" s="13"/>
      <c r="H21" s="13"/>
      <c r="I21" s="28"/>
      <c r="J21" s="16"/>
      <c r="K21" s="47"/>
    </row>
    <row r="22" spans="2:11" x14ac:dyDescent="0.45">
      <c r="B22" s="46"/>
      <c r="C22" s="16"/>
      <c r="D22" s="16"/>
      <c r="E22" s="16"/>
      <c r="F22" s="16"/>
      <c r="G22" s="16"/>
      <c r="H22" s="16"/>
      <c r="I22" s="16"/>
      <c r="J22" s="16"/>
      <c r="K22" s="47"/>
    </row>
    <row r="23" spans="2:11" x14ac:dyDescent="0.45">
      <c r="B23" s="106" t="s">
        <v>152</v>
      </c>
      <c r="C23" s="112"/>
      <c r="D23" s="112"/>
      <c r="E23" s="112"/>
      <c r="F23" s="112"/>
      <c r="G23" s="112"/>
      <c r="H23" s="112"/>
      <c r="I23" s="112"/>
      <c r="J23" s="112"/>
      <c r="K23" s="113"/>
    </row>
    <row r="24" spans="2:11" x14ac:dyDescent="0.45">
      <c r="B24" s="48"/>
      <c r="C24" s="49"/>
      <c r="D24" s="49"/>
      <c r="E24" s="49"/>
      <c r="F24" s="49"/>
      <c r="G24" s="49"/>
      <c r="H24" s="49"/>
      <c r="I24" s="49"/>
      <c r="J24" s="49"/>
      <c r="K24" s="50"/>
    </row>
  </sheetData>
  <sheetProtection password="DC54" sheet="1" objects="1" scenarios="1" selectLockedCells="1"/>
  <mergeCells count="3">
    <mergeCell ref="B5:K5"/>
    <mergeCell ref="B3:K3"/>
    <mergeCell ref="B23:K23"/>
  </mergeCells>
  <hyperlinks>
    <hyperlink ref="H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heet1.Get_TD_tags">
                <anchor moveWithCells="1" sizeWithCells="1">
                  <from>
                    <xdr:col>3</xdr:col>
                    <xdr:colOff>9525</xdr:colOff>
                    <xdr:row>10</xdr:row>
                    <xdr:rowOff>85725</xdr:rowOff>
                  </from>
                  <to>
                    <xdr:col>4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4"/>
  <sheetViews>
    <sheetView showGridLines="0" showRowColHeaders="0" workbookViewId="0">
      <selection activeCell="C4" sqref="C4"/>
    </sheetView>
  </sheetViews>
  <sheetFormatPr defaultColWidth="9.1328125" defaultRowHeight="14.25" x14ac:dyDescent="0.45"/>
  <cols>
    <col min="1" max="1" width="9" style="1" customWidth="1"/>
    <col min="2" max="2" width="28.1328125" style="1" customWidth="1"/>
    <col min="3" max="5" width="11.59765625" style="51" bestFit="1" customWidth="1"/>
    <col min="6" max="6" width="2.265625" style="1" customWidth="1"/>
    <col min="7" max="7" width="11.1328125" style="51" customWidth="1"/>
    <col min="8" max="8" width="33.59765625" style="51" customWidth="1"/>
    <col min="9" max="16384" width="9.1328125" style="51"/>
  </cols>
  <sheetData>
    <row r="1" spans="1:8" ht="18.75" thickTop="1" thickBot="1" x14ac:dyDescent="0.6">
      <c r="A1" s="63" t="s">
        <v>40</v>
      </c>
      <c r="B1" s="64" t="s">
        <v>157</v>
      </c>
      <c r="C1" s="65"/>
      <c r="D1" s="65"/>
      <c r="E1" s="66" t="s">
        <v>154</v>
      </c>
      <c r="F1" s="59"/>
      <c r="G1" s="1"/>
      <c r="H1" s="1"/>
    </row>
    <row r="2" spans="1:8" ht="14.65" thickTop="1" x14ac:dyDescent="0.45">
      <c r="A2" s="67" t="s">
        <v>158</v>
      </c>
      <c r="B2" s="59"/>
      <c r="C2" s="65"/>
      <c r="D2" s="65"/>
      <c r="E2" s="66" t="s">
        <v>155</v>
      </c>
      <c r="F2" s="59"/>
      <c r="G2" s="1"/>
      <c r="H2" s="52"/>
    </row>
    <row r="3" spans="1:8" s="54" customFormat="1" x14ac:dyDescent="0.45">
      <c r="A3" s="59" t="s">
        <v>0</v>
      </c>
      <c r="B3" s="60"/>
      <c r="C3" s="68">
        <v>41639</v>
      </c>
      <c r="D3" s="68">
        <v>41274</v>
      </c>
      <c r="E3" s="68">
        <v>40908</v>
      </c>
      <c r="F3" s="60"/>
      <c r="G3" s="53"/>
      <c r="H3" s="53"/>
    </row>
    <row r="4" spans="1:8" x14ac:dyDescent="0.45">
      <c r="A4" s="59"/>
      <c r="B4" s="59"/>
      <c r="C4" s="65"/>
      <c r="D4" s="65"/>
      <c r="E4" s="65"/>
      <c r="F4" s="59"/>
      <c r="G4" s="1"/>
      <c r="H4" s="1"/>
    </row>
    <row r="5" spans="1:8" x14ac:dyDescent="0.45">
      <c r="A5" s="60" t="s">
        <v>1</v>
      </c>
      <c r="B5" s="60"/>
      <c r="C5" s="69"/>
      <c r="D5" s="69"/>
      <c r="E5" s="69"/>
      <c r="F5" s="59"/>
    </row>
    <row r="6" spans="1:8" x14ac:dyDescent="0.45">
      <c r="A6" s="59" t="s">
        <v>2</v>
      </c>
      <c r="B6" s="59"/>
      <c r="C6" s="70"/>
      <c r="D6" s="70"/>
      <c r="E6" s="70"/>
      <c r="F6" s="59"/>
    </row>
    <row r="7" spans="1:8" x14ac:dyDescent="0.45">
      <c r="A7" s="59"/>
      <c r="B7" s="59" t="s">
        <v>3</v>
      </c>
      <c r="C7" s="70">
        <v>10414000</v>
      </c>
      <c r="D7" s="70">
        <v>8442000</v>
      </c>
      <c r="E7" s="70">
        <v>12803000</v>
      </c>
      <c r="F7" s="59"/>
    </row>
    <row r="8" spans="1:8" x14ac:dyDescent="0.45">
      <c r="A8" s="59"/>
      <c r="B8" s="59" t="s">
        <v>4</v>
      </c>
      <c r="C8" s="70">
        <v>9854000</v>
      </c>
      <c r="D8" s="70">
        <v>8109000</v>
      </c>
      <c r="E8" s="70">
        <v>1232000</v>
      </c>
      <c r="F8" s="59"/>
    </row>
    <row r="9" spans="1:8" x14ac:dyDescent="0.45">
      <c r="A9" s="59"/>
      <c r="B9" s="59" t="s">
        <v>5</v>
      </c>
      <c r="C9" s="70">
        <v>4873000</v>
      </c>
      <c r="D9" s="70">
        <v>4759000</v>
      </c>
      <c r="E9" s="70">
        <v>4920000</v>
      </c>
      <c r="F9" s="59"/>
    </row>
    <row r="10" spans="1:8" x14ac:dyDescent="0.45">
      <c r="A10" s="59"/>
      <c r="B10" s="59" t="s">
        <v>6</v>
      </c>
      <c r="C10" s="70">
        <v>3277000</v>
      </c>
      <c r="D10" s="70">
        <v>3264000</v>
      </c>
      <c r="E10" s="70">
        <v>3092000</v>
      </c>
      <c r="F10" s="59"/>
    </row>
    <row r="11" spans="1:8" ht="14.65" thickBot="1" x14ac:dyDescent="0.5">
      <c r="A11" s="59"/>
      <c r="B11" s="59" t="s">
        <v>7</v>
      </c>
      <c r="C11" s="70">
        <v>2886000</v>
      </c>
      <c r="D11" s="70">
        <v>5754000</v>
      </c>
      <c r="E11" s="70">
        <v>3450000</v>
      </c>
      <c r="F11" s="59"/>
    </row>
    <row r="12" spans="1:8" s="55" customFormat="1" x14ac:dyDescent="0.45">
      <c r="A12" s="71" t="s">
        <v>8</v>
      </c>
      <c r="B12" s="71"/>
      <c r="C12" s="72">
        <v>31304000</v>
      </c>
      <c r="D12" s="72">
        <v>30328000</v>
      </c>
      <c r="E12" s="72">
        <v>25497000</v>
      </c>
      <c r="F12" s="61"/>
    </row>
    <row r="13" spans="1:8" x14ac:dyDescent="0.45">
      <c r="A13" s="62" t="s">
        <v>9</v>
      </c>
      <c r="B13" s="59"/>
      <c r="C13" s="70">
        <v>11512000</v>
      </c>
      <c r="D13" s="70">
        <v>10448000</v>
      </c>
      <c r="E13" s="70">
        <v>8374000</v>
      </c>
      <c r="F13" s="59"/>
    </row>
    <row r="14" spans="1:8" x14ac:dyDescent="0.45">
      <c r="A14" s="59" t="s">
        <v>10</v>
      </c>
      <c r="B14" s="59"/>
      <c r="C14" s="70">
        <v>14967000</v>
      </c>
      <c r="D14" s="70">
        <v>14476000</v>
      </c>
      <c r="E14" s="70">
        <v>14939000</v>
      </c>
      <c r="F14" s="59"/>
    </row>
    <row r="15" spans="1:8" x14ac:dyDescent="0.45">
      <c r="A15" s="59" t="s">
        <v>11</v>
      </c>
      <c r="B15" s="59"/>
      <c r="C15" s="70">
        <v>12312000</v>
      </c>
      <c r="D15" s="70">
        <v>12255000</v>
      </c>
      <c r="E15" s="70">
        <v>12219000</v>
      </c>
      <c r="F15" s="59"/>
    </row>
    <row r="16" spans="1:8" x14ac:dyDescent="0.45">
      <c r="A16" s="59" t="s">
        <v>12</v>
      </c>
      <c r="B16" s="59"/>
      <c r="C16" s="70">
        <v>15299000</v>
      </c>
      <c r="D16" s="70">
        <v>15082000</v>
      </c>
      <c r="E16" s="70">
        <v>15450000</v>
      </c>
      <c r="F16" s="59"/>
    </row>
    <row r="17" spans="1:6" x14ac:dyDescent="0.45">
      <c r="A17" s="59" t="s">
        <v>13</v>
      </c>
      <c r="B17" s="59"/>
      <c r="C17" s="70" t="s">
        <v>153</v>
      </c>
      <c r="D17" s="70" t="s">
        <v>153</v>
      </c>
      <c r="E17" s="70" t="s">
        <v>153</v>
      </c>
      <c r="F17" s="59"/>
    </row>
    <row r="18" spans="1:6" x14ac:dyDescent="0.45">
      <c r="A18" s="59" t="s">
        <v>14</v>
      </c>
      <c r="B18" s="59"/>
      <c r="C18" s="70">
        <v>4661000</v>
      </c>
      <c r="D18" s="70">
        <v>3585000</v>
      </c>
      <c r="E18" s="70">
        <v>3495000</v>
      </c>
      <c r="F18" s="59"/>
    </row>
    <row r="19" spans="1:6" ht="14.65" thickBot="1" x14ac:dyDescent="0.5">
      <c r="A19" s="59" t="s">
        <v>15</v>
      </c>
      <c r="B19" s="59"/>
      <c r="C19" s="70" t="s">
        <v>153</v>
      </c>
      <c r="D19" s="70" t="s">
        <v>153</v>
      </c>
      <c r="E19" s="70" t="s">
        <v>153</v>
      </c>
      <c r="F19" s="59"/>
    </row>
    <row r="20" spans="1:6" s="54" customFormat="1" x14ac:dyDescent="0.45">
      <c r="A20" s="71" t="s">
        <v>16</v>
      </c>
      <c r="B20" s="71"/>
      <c r="C20" s="72">
        <v>90055000</v>
      </c>
      <c r="D20" s="72">
        <v>86174000</v>
      </c>
      <c r="E20" s="72">
        <v>79974000</v>
      </c>
      <c r="F20" s="60"/>
    </row>
    <row r="21" spans="1:6" x14ac:dyDescent="0.45">
      <c r="A21" s="59"/>
      <c r="B21" s="59"/>
      <c r="C21" s="70"/>
      <c r="D21" s="70"/>
      <c r="E21" s="70"/>
      <c r="F21" s="59"/>
    </row>
    <row r="22" spans="1:6" x14ac:dyDescent="0.45">
      <c r="A22" s="60" t="s">
        <v>17</v>
      </c>
      <c r="B22" s="60"/>
      <c r="C22" s="69"/>
      <c r="D22" s="69"/>
      <c r="E22" s="69"/>
      <c r="F22" s="59"/>
    </row>
    <row r="23" spans="1:6" x14ac:dyDescent="0.45">
      <c r="A23" s="59" t="s">
        <v>18</v>
      </c>
      <c r="B23" s="59"/>
      <c r="C23" s="70"/>
      <c r="D23" s="70"/>
      <c r="E23" s="70"/>
      <c r="F23" s="59"/>
    </row>
    <row r="24" spans="1:6" x14ac:dyDescent="0.45">
      <c r="A24" s="59"/>
      <c r="B24" s="59" t="s">
        <v>39</v>
      </c>
      <c r="C24" s="70">
        <v>9886000</v>
      </c>
      <c r="D24" s="70">
        <v>9151000</v>
      </c>
      <c r="E24" s="70">
        <v>9371000</v>
      </c>
      <c r="F24" s="59"/>
    </row>
    <row r="25" spans="1:6" x14ac:dyDescent="0.45">
      <c r="A25" s="59"/>
      <c r="B25" s="59" t="s">
        <v>20</v>
      </c>
      <c r="C25" s="70">
        <v>17925000</v>
      </c>
      <c r="D25" s="70">
        <v>17874000</v>
      </c>
      <c r="E25" s="70">
        <v>14912000</v>
      </c>
      <c r="F25" s="59"/>
    </row>
    <row r="26" spans="1:6" ht="14.65" thickBot="1" x14ac:dyDescent="0.5">
      <c r="A26" s="59"/>
      <c r="B26" s="59" t="s">
        <v>21</v>
      </c>
      <c r="C26" s="70" t="s">
        <v>153</v>
      </c>
      <c r="D26" s="70">
        <v>796000</v>
      </c>
      <c r="E26" s="70" t="s">
        <v>153</v>
      </c>
      <c r="F26" s="59"/>
    </row>
    <row r="27" spans="1:6" s="54" customFormat="1" x14ac:dyDescent="0.45">
      <c r="A27" s="71" t="s">
        <v>22</v>
      </c>
      <c r="B27" s="71"/>
      <c r="C27" s="72">
        <v>27811000</v>
      </c>
      <c r="D27" s="72">
        <v>27821000</v>
      </c>
      <c r="E27" s="72">
        <v>24283000</v>
      </c>
      <c r="F27" s="60"/>
    </row>
    <row r="28" spans="1:6" x14ac:dyDescent="0.45">
      <c r="A28" s="59" t="s">
        <v>19</v>
      </c>
      <c r="B28" s="59"/>
      <c r="C28" s="70">
        <v>19154000</v>
      </c>
      <c r="D28" s="70">
        <v>14736000</v>
      </c>
      <c r="E28" s="70">
        <v>13656000</v>
      </c>
      <c r="F28" s="59"/>
    </row>
    <row r="29" spans="1:6" x14ac:dyDescent="0.45">
      <c r="A29" s="59" t="s">
        <v>23</v>
      </c>
      <c r="B29" s="59"/>
      <c r="C29" s="70">
        <v>3498000</v>
      </c>
      <c r="D29" s="70">
        <v>5468000</v>
      </c>
      <c r="E29" s="70">
        <v>5420000</v>
      </c>
      <c r="F29" s="59"/>
    </row>
    <row r="30" spans="1:6" x14ac:dyDescent="0.45">
      <c r="A30" s="59" t="s">
        <v>24</v>
      </c>
      <c r="B30" s="59"/>
      <c r="C30" s="70">
        <v>6152000</v>
      </c>
      <c r="D30" s="70">
        <v>4981000</v>
      </c>
      <c r="E30" s="70">
        <v>4694000</v>
      </c>
      <c r="F30" s="59"/>
    </row>
    <row r="31" spans="1:6" x14ac:dyDescent="0.45">
      <c r="A31" s="59" t="s">
        <v>25</v>
      </c>
      <c r="B31" s="59"/>
      <c r="C31" s="70">
        <v>267000</v>
      </c>
      <c r="D31" s="70">
        <v>378000</v>
      </c>
      <c r="E31" s="70">
        <v>286000</v>
      </c>
      <c r="F31" s="59"/>
    </row>
    <row r="32" spans="1:6" ht="14.65" thickBot="1" x14ac:dyDescent="0.5">
      <c r="A32" s="59" t="s">
        <v>26</v>
      </c>
      <c r="B32" s="59"/>
      <c r="C32" s="70" t="s">
        <v>153</v>
      </c>
      <c r="D32" s="70" t="s">
        <v>153</v>
      </c>
      <c r="E32" s="70" t="s">
        <v>153</v>
      </c>
      <c r="F32" s="59"/>
    </row>
    <row r="33" spans="1:6" s="54" customFormat="1" x14ac:dyDescent="0.45">
      <c r="A33" s="71" t="s">
        <v>27</v>
      </c>
      <c r="B33" s="71"/>
      <c r="C33" s="72">
        <v>56882000</v>
      </c>
      <c r="D33" s="72">
        <v>53384000</v>
      </c>
      <c r="E33" s="72">
        <v>48339000</v>
      </c>
      <c r="F33" s="60"/>
    </row>
    <row r="34" spans="1:6" x14ac:dyDescent="0.45">
      <c r="A34" s="59"/>
      <c r="B34" s="59"/>
      <c r="C34" s="70"/>
      <c r="D34" s="70"/>
      <c r="E34" s="70"/>
      <c r="F34" s="59"/>
    </row>
    <row r="35" spans="1:6" x14ac:dyDescent="0.45">
      <c r="A35" s="60" t="s">
        <v>28</v>
      </c>
      <c r="B35" s="60"/>
      <c r="C35" s="69"/>
      <c r="D35" s="69"/>
      <c r="E35" s="69"/>
      <c r="F35" s="59"/>
    </row>
    <row r="36" spans="1:6" x14ac:dyDescent="0.45">
      <c r="A36" s="59" t="s">
        <v>29</v>
      </c>
      <c r="B36" s="59"/>
      <c r="C36" s="70" t="s">
        <v>153</v>
      </c>
      <c r="D36" s="70" t="s">
        <v>153</v>
      </c>
      <c r="E36" s="70" t="s">
        <v>153</v>
      </c>
      <c r="F36" s="59"/>
    </row>
    <row r="37" spans="1:6" s="57" customFormat="1" x14ac:dyDescent="0.45">
      <c r="A37" s="62" t="s">
        <v>30</v>
      </c>
      <c r="B37" s="62"/>
      <c r="C37" s="73" t="s">
        <v>153</v>
      </c>
      <c r="D37" s="73" t="s">
        <v>153</v>
      </c>
      <c r="E37" s="73" t="s">
        <v>153</v>
      </c>
      <c r="F37" s="62"/>
    </row>
    <row r="38" spans="1:6" x14ac:dyDescent="0.45">
      <c r="A38" s="59" t="s">
        <v>31</v>
      </c>
      <c r="B38" s="59"/>
      <c r="C38" s="70" t="s">
        <v>153</v>
      </c>
      <c r="D38" s="70" t="s">
        <v>153</v>
      </c>
      <c r="E38" s="70" t="s">
        <v>153</v>
      </c>
      <c r="F38" s="59"/>
    </row>
    <row r="39" spans="1:6" s="57" customFormat="1" x14ac:dyDescent="0.45">
      <c r="A39" s="62" t="s">
        <v>32</v>
      </c>
      <c r="B39" s="62"/>
      <c r="C39" s="73">
        <v>1760000</v>
      </c>
      <c r="D39" s="73">
        <v>1760000</v>
      </c>
      <c r="E39" s="73">
        <v>1760000</v>
      </c>
      <c r="F39" s="62"/>
    </row>
    <row r="40" spans="1:6" x14ac:dyDescent="0.45">
      <c r="A40" s="59" t="s">
        <v>33</v>
      </c>
      <c r="B40" s="59"/>
      <c r="C40" s="70">
        <v>61660000</v>
      </c>
      <c r="D40" s="70">
        <v>58045000</v>
      </c>
      <c r="E40" s="70">
        <v>53621000</v>
      </c>
      <c r="F40" s="59"/>
    </row>
    <row r="41" spans="1:6" s="57" customFormat="1" x14ac:dyDescent="0.45">
      <c r="A41" s="62" t="s">
        <v>34</v>
      </c>
      <c r="B41" s="62"/>
      <c r="C41" s="73">
        <v>-39091000</v>
      </c>
      <c r="D41" s="73">
        <v>-35009000</v>
      </c>
      <c r="E41" s="73">
        <v>-31304000</v>
      </c>
      <c r="F41" s="62"/>
    </row>
    <row r="42" spans="1:6" x14ac:dyDescent="0.45">
      <c r="A42" s="59" t="s">
        <v>35</v>
      </c>
      <c r="B42" s="59"/>
      <c r="C42" s="70">
        <v>12276000</v>
      </c>
      <c r="D42" s="70">
        <v>11379000</v>
      </c>
      <c r="E42" s="70">
        <v>10332000</v>
      </c>
      <c r="F42" s="59"/>
    </row>
    <row r="43" spans="1:6" s="57" customFormat="1" ht="14.65" thickBot="1" x14ac:dyDescent="0.5">
      <c r="A43" s="62" t="s">
        <v>36</v>
      </c>
      <c r="B43" s="62"/>
      <c r="C43" s="73">
        <v>-3432000</v>
      </c>
      <c r="D43" s="73">
        <v>-3385000</v>
      </c>
      <c r="E43" s="73">
        <v>-2774000</v>
      </c>
      <c r="F43" s="62"/>
    </row>
    <row r="44" spans="1:6" s="54" customFormat="1" ht="14.65" thickBot="1" x14ac:dyDescent="0.5">
      <c r="A44" s="71" t="s">
        <v>37</v>
      </c>
      <c r="B44" s="71"/>
      <c r="C44" s="72">
        <v>33173000</v>
      </c>
      <c r="D44" s="72">
        <v>32790000</v>
      </c>
      <c r="E44" s="72">
        <v>31635000</v>
      </c>
      <c r="F44" s="60"/>
    </row>
    <row r="45" spans="1:6" s="54" customFormat="1" x14ac:dyDescent="0.45">
      <c r="A45" s="71" t="s">
        <v>38</v>
      </c>
      <c r="B45" s="71"/>
      <c r="C45" s="72">
        <v>5562000</v>
      </c>
      <c r="D45" s="72">
        <v>5453000</v>
      </c>
      <c r="E45" s="72">
        <v>3966000</v>
      </c>
      <c r="F45" s="60"/>
    </row>
    <row r="46" spans="1:6" x14ac:dyDescent="0.45">
      <c r="A46" s="59"/>
      <c r="B46" s="59"/>
      <c r="C46" s="74"/>
      <c r="D46" s="65"/>
      <c r="E46" s="65"/>
      <c r="F46" s="59"/>
    </row>
    <row r="47" spans="1:6" x14ac:dyDescent="0.45">
      <c r="C47" s="58"/>
    </row>
    <row r="48" spans="1:6" x14ac:dyDescent="0.45">
      <c r="C48" s="58"/>
    </row>
    <row r="53" spans="3:3" x14ac:dyDescent="0.45">
      <c r="C53" s="58"/>
    </row>
    <row r="54" spans="3:3" x14ac:dyDescent="0.45">
      <c r="C54" s="58"/>
    </row>
    <row r="55" spans="3:3" x14ac:dyDescent="0.45">
      <c r="C55" s="58"/>
    </row>
    <row r="56" spans="3:3" x14ac:dyDescent="0.45">
      <c r="C56" s="58"/>
    </row>
    <row r="61" spans="3:3" x14ac:dyDescent="0.45">
      <c r="C61" s="58"/>
    </row>
    <row r="62" spans="3:3" x14ac:dyDescent="0.45">
      <c r="C62" s="58"/>
    </row>
    <row r="63" spans="3:3" x14ac:dyDescent="0.45">
      <c r="C63" s="58"/>
    </row>
    <row r="64" spans="3:3" x14ac:dyDescent="0.45">
      <c r="C64" s="58"/>
    </row>
    <row r="65" spans="3:3" x14ac:dyDescent="0.45">
      <c r="C65" s="58"/>
    </row>
    <row r="66" spans="3:3" x14ac:dyDescent="0.45">
      <c r="C66" s="58"/>
    </row>
    <row r="67" spans="3:3" x14ac:dyDescent="0.45">
      <c r="C67" s="58"/>
    </row>
    <row r="68" spans="3:3" x14ac:dyDescent="0.45">
      <c r="C68" s="58"/>
    </row>
    <row r="73" spans="3:3" x14ac:dyDescent="0.45">
      <c r="C73" s="58"/>
    </row>
    <row r="74" spans="3:3" x14ac:dyDescent="0.45">
      <c r="C74" s="58"/>
    </row>
    <row r="75" spans="3:3" x14ac:dyDescent="0.45">
      <c r="C75" s="58"/>
    </row>
    <row r="76" spans="3:3" x14ac:dyDescent="0.45">
      <c r="C76" s="58"/>
    </row>
    <row r="77" spans="3:3" x14ac:dyDescent="0.45">
      <c r="C77" s="58"/>
    </row>
    <row r="78" spans="3:3" x14ac:dyDescent="0.45">
      <c r="C78" s="58"/>
    </row>
    <row r="79" spans="3:3" x14ac:dyDescent="0.45">
      <c r="C79" s="58"/>
    </row>
    <row r="80" spans="3:3" x14ac:dyDescent="0.45">
      <c r="C80" s="58"/>
    </row>
    <row r="85" spans="3:3" x14ac:dyDescent="0.45">
      <c r="C85" s="58"/>
    </row>
    <row r="86" spans="3:3" x14ac:dyDescent="0.45">
      <c r="C86" s="58"/>
    </row>
    <row r="87" spans="3:3" x14ac:dyDescent="0.45">
      <c r="C87" s="58"/>
    </row>
    <row r="88" spans="3:3" x14ac:dyDescent="0.45">
      <c r="C88" s="58"/>
    </row>
    <row r="89" spans="3:3" x14ac:dyDescent="0.45">
      <c r="C89" s="58"/>
    </row>
    <row r="90" spans="3:3" x14ac:dyDescent="0.45">
      <c r="C90" s="58"/>
    </row>
    <row r="91" spans="3:3" x14ac:dyDescent="0.45">
      <c r="C91" s="58"/>
    </row>
    <row r="92" spans="3:3" x14ac:dyDescent="0.45">
      <c r="C92" s="58"/>
    </row>
    <row r="101" spans="3:3" x14ac:dyDescent="0.45">
      <c r="C101" s="58"/>
    </row>
    <row r="102" spans="3:3" x14ac:dyDescent="0.45">
      <c r="C102" s="58"/>
    </row>
    <row r="103" spans="3:3" x14ac:dyDescent="0.45">
      <c r="C103" s="58"/>
    </row>
    <row r="104" spans="3:3" x14ac:dyDescent="0.45">
      <c r="C104" s="58"/>
    </row>
    <row r="117" spans="3:3" x14ac:dyDescent="0.45">
      <c r="C117" s="58"/>
    </row>
    <row r="118" spans="3:3" x14ac:dyDescent="0.45">
      <c r="C118" s="58"/>
    </row>
    <row r="119" spans="3:3" x14ac:dyDescent="0.45">
      <c r="C119" s="58"/>
    </row>
    <row r="120" spans="3:3" x14ac:dyDescent="0.45">
      <c r="C120" s="58"/>
    </row>
    <row r="121" spans="3:3" x14ac:dyDescent="0.45">
      <c r="C121" s="58"/>
    </row>
    <row r="122" spans="3:3" x14ac:dyDescent="0.45">
      <c r="C122" s="58"/>
    </row>
    <row r="123" spans="3:3" x14ac:dyDescent="0.45">
      <c r="C123" s="58"/>
    </row>
    <row r="124" spans="3:3" x14ac:dyDescent="0.45">
      <c r="C124" s="58"/>
    </row>
    <row r="133" spans="3:3" x14ac:dyDescent="0.45">
      <c r="C133" s="58"/>
    </row>
    <row r="134" spans="3:3" x14ac:dyDescent="0.45">
      <c r="C134" s="58"/>
    </row>
    <row r="135" spans="3:3" x14ac:dyDescent="0.45">
      <c r="C135" s="58"/>
    </row>
    <row r="136" spans="3:3" x14ac:dyDescent="0.45">
      <c r="C136" s="58"/>
    </row>
    <row r="137" spans="3:3" x14ac:dyDescent="0.45">
      <c r="C137" s="58"/>
    </row>
    <row r="138" spans="3:3" x14ac:dyDescent="0.45">
      <c r="C138" s="58"/>
    </row>
    <row r="139" spans="3:3" x14ac:dyDescent="0.45">
      <c r="C139" s="58"/>
    </row>
    <row r="140" spans="3:3" x14ac:dyDescent="0.45">
      <c r="C140" s="58"/>
    </row>
    <row r="141" spans="3:3" x14ac:dyDescent="0.45">
      <c r="C141" s="58"/>
    </row>
    <row r="142" spans="3:3" x14ac:dyDescent="0.45">
      <c r="C142" s="58"/>
    </row>
    <row r="143" spans="3:3" x14ac:dyDescent="0.45">
      <c r="C143" s="58"/>
    </row>
    <row r="144" spans="3:3" x14ac:dyDescent="0.45">
      <c r="C144" s="58"/>
    </row>
  </sheetData>
  <sheetProtection password="DC54" sheet="1" objects="1" scenarios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8"/>
  <sheetViews>
    <sheetView showGridLines="0" showRowColHeaders="0" topLeftCell="A25" workbookViewId="0">
      <selection activeCell="B1" sqref="B1"/>
    </sheetView>
  </sheetViews>
  <sheetFormatPr defaultColWidth="9.1328125" defaultRowHeight="14.25" x14ac:dyDescent="0.45"/>
  <cols>
    <col min="1" max="1" width="8.3984375" style="1" customWidth="1"/>
    <col min="2" max="2" width="32.265625" style="1" customWidth="1"/>
    <col min="3" max="5" width="10.86328125" style="51" bestFit="1" customWidth="1"/>
    <col min="6" max="6" width="5.86328125" style="51" customWidth="1"/>
    <col min="7" max="16384" width="9.1328125" style="51"/>
  </cols>
  <sheetData>
    <row r="1" spans="1:6" ht="18.75" thickTop="1" thickBot="1" x14ac:dyDescent="0.6">
      <c r="A1" s="63" t="s">
        <v>40</v>
      </c>
      <c r="B1" s="64" t="s">
        <v>157</v>
      </c>
      <c r="C1" s="65"/>
      <c r="D1" s="65"/>
      <c r="E1" s="66" t="s">
        <v>154</v>
      </c>
      <c r="F1" s="65"/>
    </row>
    <row r="2" spans="1:6" ht="14.65" thickTop="1" x14ac:dyDescent="0.45">
      <c r="A2" s="67" t="s">
        <v>159</v>
      </c>
      <c r="B2" s="59"/>
      <c r="C2" s="65"/>
      <c r="D2" s="65"/>
      <c r="E2" s="66" t="s">
        <v>155</v>
      </c>
      <c r="F2" s="65"/>
    </row>
    <row r="3" spans="1:6" x14ac:dyDescent="0.45">
      <c r="A3" s="62" t="s">
        <v>0</v>
      </c>
      <c r="B3" s="60"/>
      <c r="C3" s="68">
        <v>41639</v>
      </c>
      <c r="D3" s="68">
        <v>41274</v>
      </c>
      <c r="E3" s="68">
        <v>40908</v>
      </c>
      <c r="F3" s="65"/>
    </row>
    <row r="4" spans="1:6" ht="14.65" thickBot="1" x14ac:dyDescent="0.5">
      <c r="A4" s="60"/>
      <c r="B4" s="59"/>
      <c r="C4" s="74"/>
      <c r="D4" s="74"/>
      <c r="E4" s="74"/>
      <c r="F4" s="65"/>
    </row>
    <row r="5" spans="1:6" x14ac:dyDescent="0.45">
      <c r="A5" s="71" t="s">
        <v>41</v>
      </c>
      <c r="B5" s="71"/>
      <c r="C5" s="72">
        <v>46854000</v>
      </c>
      <c r="D5" s="72">
        <v>48017000</v>
      </c>
      <c r="E5" s="72">
        <v>46542000</v>
      </c>
      <c r="F5" s="65"/>
    </row>
    <row r="6" spans="1:6" ht="14.65" thickBot="1" x14ac:dyDescent="0.5">
      <c r="A6" s="62" t="s">
        <v>42</v>
      </c>
      <c r="B6" s="59"/>
      <c r="C6" s="70">
        <v>18421000</v>
      </c>
      <c r="D6" s="70">
        <v>19053000</v>
      </c>
      <c r="E6" s="70">
        <v>18215000</v>
      </c>
      <c r="F6" s="65"/>
    </row>
    <row r="7" spans="1:6" x14ac:dyDescent="0.45">
      <c r="A7" s="71" t="s">
        <v>43</v>
      </c>
      <c r="B7" s="71"/>
      <c r="C7" s="72">
        <v>28433000</v>
      </c>
      <c r="D7" s="72">
        <v>28964000</v>
      </c>
      <c r="E7" s="72">
        <v>28327000</v>
      </c>
      <c r="F7" s="65"/>
    </row>
    <row r="8" spans="1:6" x14ac:dyDescent="0.45">
      <c r="A8" s="61"/>
      <c r="B8" s="61"/>
      <c r="C8" s="77"/>
      <c r="D8" s="77"/>
      <c r="E8" s="77"/>
      <c r="F8" s="65"/>
    </row>
    <row r="9" spans="1:6" x14ac:dyDescent="0.45">
      <c r="A9" s="59"/>
      <c r="B9" s="59" t="s">
        <v>44</v>
      </c>
      <c r="C9" s="70"/>
      <c r="D9" s="70"/>
      <c r="E9" s="70"/>
      <c r="F9" s="65"/>
    </row>
    <row r="10" spans="1:6" x14ac:dyDescent="0.45">
      <c r="A10" s="59"/>
      <c r="B10" s="59" t="s">
        <v>45</v>
      </c>
      <c r="C10" s="70" t="s">
        <v>153</v>
      </c>
      <c r="D10" s="70" t="s">
        <v>153</v>
      </c>
      <c r="E10" s="70" t="s">
        <v>153</v>
      </c>
      <c r="F10" s="65"/>
    </row>
    <row r="11" spans="1:6" x14ac:dyDescent="0.45">
      <c r="A11" s="59"/>
      <c r="B11" s="59" t="s">
        <v>46</v>
      </c>
      <c r="C11" s="70">
        <v>18205000</v>
      </c>
      <c r="D11" s="70">
        <v>18185000</v>
      </c>
      <c r="E11" s="70">
        <v>18154000</v>
      </c>
      <c r="F11" s="65"/>
    </row>
    <row r="12" spans="1:6" x14ac:dyDescent="0.45">
      <c r="A12" s="59"/>
      <c r="B12" s="78" t="s">
        <v>47</v>
      </c>
      <c r="C12" s="70" t="s">
        <v>153</v>
      </c>
      <c r="D12" s="70" t="s">
        <v>153</v>
      </c>
      <c r="E12" s="70" t="s">
        <v>153</v>
      </c>
      <c r="F12" s="65"/>
    </row>
    <row r="13" spans="1:6" x14ac:dyDescent="0.45">
      <c r="A13" s="61"/>
      <c r="B13" s="78" t="s">
        <v>48</v>
      </c>
      <c r="C13" s="77" t="s">
        <v>153</v>
      </c>
      <c r="D13" s="77" t="s">
        <v>153</v>
      </c>
      <c r="E13" s="77" t="s">
        <v>153</v>
      </c>
      <c r="F13" s="65"/>
    </row>
    <row r="14" spans="1:6" ht="14.65" thickBot="1" x14ac:dyDescent="0.5">
      <c r="A14" s="59"/>
      <c r="B14" s="78" t="s">
        <v>49</v>
      </c>
      <c r="C14" s="70" t="s">
        <v>153</v>
      </c>
      <c r="D14" s="70" t="s">
        <v>153</v>
      </c>
      <c r="E14" s="70" t="s">
        <v>153</v>
      </c>
      <c r="F14" s="65"/>
    </row>
    <row r="15" spans="1:6" x14ac:dyDescent="0.45">
      <c r="A15" s="71" t="s">
        <v>50</v>
      </c>
      <c r="B15" s="71"/>
      <c r="C15" s="72">
        <v>10228000</v>
      </c>
      <c r="D15" s="72">
        <v>10779000</v>
      </c>
      <c r="E15" s="72">
        <v>10173000</v>
      </c>
      <c r="F15" s="65"/>
    </row>
    <row r="16" spans="1:6" x14ac:dyDescent="0.45">
      <c r="A16" s="59"/>
      <c r="B16" s="59"/>
      <c r="C16" s="70"/>
      <c r="D16" s="70"/>
      <c r="E16" s="70"/>
      <c r="F16" s="65"/>
    </row>
    <row r="17" spans="1:6" x14ac:dyDescent="0.45">
      <c r="A17" s="59"/>
      <c r="B17" s="59" t="s">
        <v>51</v>
      </c>
      <c r="C17" s="70"/>
      <c r="D17" s="70"/>
      <c r="E17" s="70"/>
      <c r="F17" s="65"/>
    </row>
    <row r="18" spans="1:6" x14ac:dyDescent="0.45">
      <c r="A18" s="59"/>
      <c r="B18" s="79" t="s">
        <v>52</v>
      </c>
      <c r="C18" s="70">
        <v>1110000</v>
      </c>
      <c r="D18" s="70">
        <v>608000</v>
      </c>
      <c r="E18" s="70">
        <v>1012000</v>
      </c>
      <c r="F18" s="65"/>
    </row>
    <row r="19" spans="1:6" x14ac:dyDescent="0.45">
      <c r="A19" s="59"/>
      <c r="B19" s="59" t="s">
        <v>53</v>
      </c>
      <c r="C19" s="70">
        <v>11940000</v>
      </c>
      <c r="D19" s="70">
        <v>12206000</v>
      </c>
      <c r="E19" s="70">
        <v>11875000</v>
      </c>
      <c r="F19" s="65"/>
    </row>
    <row r="20" spans="1:6" x14ac:dyDescent="0.45">
      <c r="A20" s="59"/>
      <c r="B20" s="59" t="s">
        <v>54</v>
      </c>
      <c r="C20" s="70">
        <v>463000</v>
      </c>
      <c r="D20" s="70">
        <v>397000</v>
      </c>
      <c r="E20" s="70">
        <v>417000</v>
      </c>
      <c r="F20" s="65"/>
    </row>
    <row r="21" spans="1:6" x14ac:dyDescent="0.45">
      <c r="A21" s="60"/>
      <c r="B21" s="62" t="s">
        <v>55</v>
      </c>
      <c r="C21" s="69">
        <v>11477000</v>
      </c>
      <c r="D21" s="69">
        <v>11809000</v>
      </c>
      <c r="E21" s="69">
        <v>11458000</v>
      </c>
      <c r="F21" s="65"/>
    </row>
    <row r="22" spans="1:6" x14ac:dyDescent="0.45">
      <c r="A22" s="59"/>
      <c r="B22" s="59" t="s">
        <v>56</v>
      </c>
      <c r="C22" s="70">
        <v>2851000</v>
      </c>
      <c r="D22" s="70">
        <v>2723000</v>
      </c>
      <c r="E22" s="70">
        <v>2812000</v>
      </c>
      <c r="F22" s="65"/>
    </row>
    <row r="23" spans="1:6" x14ac:dyDescent="0.45">
      <c r="A23" s="59"/>
      <c r="B23" s="59" t="s">
        <v>25</v>
      </c>
      <c r="C23" s="70">
        <v>-42000</v>
      </c>
      <c r="D23" s="70">
        <v>-67000</v>
      </c>
      <c r="E23" s="70">
        <v>-62000</v>
      </c>
      <c r="F23" s="65"/>
    </row>
    <row r="24" spans="1:6" x14ac:dyDescent="0.45">
      <c r="A24" s="59"/>
      <c r="B24" s="59" t="s">
        <v>57</v>
      </c>
      <c r="C24" s="70">
        <v>9186000</v>
      </c>
      <c r="D24" s="70">
        <v>9838000</v>
      </c>
      <c r="E24" s="70">
        <v>9274000</v>
      </c>
      <c r="F24" s="65"/>
    </row>
    <row r="25" spans="1:6" x14ac:dyDescent="0.45">
      <c r="A25" s="59"/>
      <c r="B25" s="59"/>
      <c r="C25" s="70"/>
      <c r="D25" s="70"/>
      <c r="E25" s="70"/>
      <c r="F25" s="65"/>
    </row>
    <row r="26" spans="1:6" x14ac:dyDescent="0.45">
      <c r="A26" s="59"/>
      <c r="B26" s="59" t="s">
        <v>58</v>
      </c>
      <c r="C26" s="70"/>
      <c r="D26" s="70"/>
      <c r="E26" s="70"/>
      <c r="F26" s="65"/>
    </row>
    <row r="27" spans="1:6" x14ac:dyDescent="0.45">
      <c r="A27" s="59"/>
      <c r="B27" s="59" t="s">
        <v>59</v>
      </c>
      <c r="C27" s="70" t="s">
        <v>153</v>
      </c>
      <c r="D27" s="70" t="s">
        <v>153</v>
      </c>
      <c r="E27" s="70" t="s">
        <v>153</v>
      </c>
      <c r="F27" s="65"/>
    </row>
    <row r="28" spans="1:6" x14ac:dyDescent="0.45">
      <c r="A28" s="60"/>
      <c r="B28" s="62" t="s">
        <v>60</v>
      </c>
      <c r="C28" s="69" t="s">
        <v>153</v>
      </c>
      <c r="D28" s="69" t="s">
        <v>153</v>
      </c>
      <c r="E28" s="69" t="s">
        <v>153</v>
      </c>
      <c r="F28" s="65"/>
    </row>
    <row r="29" spans="1:6" x14ac:dyDescent="0.45">
      <c r="A29" s="59"/>
      <c r="B29" s="79" t="s">
        <v>61</v>
      </c>
      <c r="C29" s="70" t="s">
        <v>153</v>
      </c>
      <c r="D29" s="70" t="s">
        <v>153</v>
      </c>
      <c r="E29" s="70" t="s">
        <v>153</v>
      </c>
      <c r="F29" s="65"/>
    </row>
    <row r="30" spans="1:6" ht="14.65" thickBot="1" x14ac:dyDescent="0.5">
      <c r="A30" s="59"/>
      <c r="B30" s="59" t="s">
        <v>62</v>
      </c>
      <c r="C30" s="70" t="s">
        <v>153</v>
      </c>
      <c r="D30" s="70" t="s">
        <v>153</v>
      </c>
      <c r="E30" s="70" t="s">
        <v>153</v>
      </c>
      <c r="F30" s="65"/>
    </row>
    <row r="31" spans="1:6" x14ac:dyDescent="0.45">
      <c r="A31" s="71" t="s">
        <v>63</v>
      </c>
      <c r="B31" s="71"/>
      <c r="C31" s="72">
        <v>8584000</v>
      </c>
      <c r="D31" s="72">
        <v>9019000</v>
      </c>
      <c r="E31" s="72">
        <v>8584000</v>
      </c>
      <c r="F31" s="65"/>
    </row>
    <row r="32" spans="1:6" ht="14.65" thickBot="1" x14ac:dyDescent="0.5">
      <c r="A32" s="79" t="s">
        <v>64</v>
      </c>
      <c r="B32" s="59"/>
      <c r="C32" s="70" t="s">
        <v>153</v>
      </c>
      <c r="D32" s="70" t="s">
        <v>153</v>
      </c>
      <c r="E32" s="70" t="s">
        <v>153</v>
      </c>
      <c r="F32" s="65"/>
    </row>
    <row r="33" spans="1:6" x14ac:dyDescent="0.45">
      <c r="A33" s="71" t="s">
        <v>65</v>
      </c>
      <c r="B33" s="71"/>
      <c r="C33" s="72">
        <v>8584000</v>
      </c>
      <c r="D33" s="72">
        <v>9019000</v>
      </c>
      <c r="E33" s="72">
        <v>8584000</v>
      </c>
      <c r="F33" s="65"/>
    </row>
    <row r="34" spans="1:6" x14ac:dyDescent="0.45">
      <c r="A34" s="60"/>
      <c r="B34" s="60"/>
      <c r="C34" s="80"/>
      <c r="D34" s="80"/>
      <c r="E34" s="80"/>
      <c r="F34" s="65"/>
    </row>
    <row r="37" spans="1:6" x14ac:dyDescent="0.45">
      <c r="C37" s="58"/>
    </row>
    <row r="38" spans="1:6" x14ac:dyDescent="0.45">
      <c r="A38" s="56"/>
      <c r="B38" s="56"/>
      <c r="C38" s="57"/>
      <c r="D38" s="57"/>
      <c r="E38" s="75"/>
    </row>
    <row r="39" spans="1:6" x14ac:dyDescent="0.45">
      <c r="C39" s="58"/>
      <c r="D39" s="58"/>
      <c r="E39" s="58"/>
    </row>
    <row r="40" spans="1:6" x14ac:dyDescent="0.45">
      <c r="A40" s="56"/>
      <c r="B40" s="56"/>
      <c r="C40" s="75"/>
      <c r="D40" s="75"/>
      <c r="E40" s="75"/>
    </row>
    <row r="41" spans="1:6" x14ac:dyDescent="0.45">
      <c r="C41" s="58"/>
    </row>
    <row r="42" spans="1:6" x14ac:dyDescent="0.45">
      <c r="A42" s="56"/>
      <c r="B42" s="56"/>
      <c r="C42" s="57"/>
      <c r="D42" s="57"/>
      <c r="E42" s="57"/>
    </row>
    <row r="44" spans="1:6" x14ac:dyDescent="0.45">
      <c r="A44" s="56"/>
      <c r="B44" s="56"/>
      <c r="C44" s="75"/>
      <c r="D44" s="75"/>
      <c r="E44" s="75"/>
    </row>
    <row r="45" spans="1:6" x14ac:dyDescent="0.45">
      <c r="A45" s="53"/>
      <c r="B45" s="53"/>
      <c r="C45" s="76"/>
      <c r="D45" s="54"/>
      <c r="E45" s="54"/>
    </row>
    <row r="46" spans="1:6" x14ac:dyDescent="0.45">
      <c r="A46" s="53"/>
      <c r="B46" s="53"/>
      <c r="C46" s="54"/>
      <c r="D46" s="54"/>
      <c r="E46" s="54"/>
    </row>
    <row r="49" spans="3:5" x14ac:dyDescent="0.45">
      <c r="D49" s="58"/>
      <c r="E49" s="58"/>
    </row>
    <row r="50" spans="3:5" x14ac:dyDescent="0.45">
      <c r="C50" s="58"/>
      <c r="D50" s="58"/>
      <c r="E50" s="58"/>
    </row>
    <row r="51" spans="3:5" x14ac:dyDescent="0.45">
      <c r="C51" s="58"/>
      <c r="D51" s="58"/>
      <c r="E51" s="58"/>
    </row>
    <row r="54" spans="3:5" x14ac:dyDescent="0.45">
      <c r="E54" s="58"/>
    </row>
    <row r="55" spans="3:5" x14ac:dyDescent="0.45">
      <c r="C55" s="58"/>
      <c r="D55" s="58"/>
      <c r="E55" s="58"/>
    </row>
    <row r="56" spans="3:5" x14ac:dyDescent="0.45">
      <c r="C56" s="58"/>
      <c r="D56" s="58"/>
      <c r="E56" s="58"/>
    </row>
    <row r="57" spans="3:5" x14ac:dyDescent="0.45">
      <c r="C57" s="58"/>
      <c r="D57" s="58"/>
      <c r="E57" s="58"/>
    </row>
    <row r="58" spans="3:5" x14ac:dyDescent="0.45">
      <c r="C58" s="58"/>
      <c r="D58" s="58"/>
    </row>
  </sheetData>
  <sheetProtection password="DC54" sheet="1" objects="1" scenarios="1"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H48"/>
  <sheetViews>
    <sheetView showGridLines="0" showRowColHeaders="0" workbookViewId="0">
      <selection activeCell="AA1" sqref="AA1:AH48"/>
    </sheetView>
  </sheetViews>
  <sheetFormatPr defaultColWidth="9.1328125" defaultRowHeight="14.25" x14ac:dyDescent="0.45"/>
  <cols>
    <col min="1" max="1" width="5.3984375" style="1" customWidth="1"/>
    <col min="2" max="2" width="9.1328125" style="1"/>
    <col min="3" max="3" width="32.86328125" style="1" customWidth="1"/>
    <col min="4" max="4" width="56.73046875" style="33" customWidth="1"/>
    <col min="5" max="5" width="13.1328125" style="33" customWidth="1"/>
    <col min="6" max="6" width="3.3984375" style="1" customWidth="1"/>
    <col min="7" max="7" width="4.265625" style="1" customWidth="1"/>
    <col min="8" max="8" width="5" style="1" customWidth="1"/>
    <col min="9" max="26" width="9.1328125" style="1"/>
    <col min="27" max="27" width="9.265625" style="1" bestFit="1" customWidth="1"/>
    <col min="28" max="28" width="9.1328125" style="1"/>
    <col min="29" max="29" width="10.73046875" style="1" bestFit="1" customWidth="1"/>
    <col min="30" max="30" width="10" style="1" bestFit="1" customWidth="1"/>
    <col min="31" max="31" width="9.1328125" style="1"/>
    <col min="32" max="32" width="10" style="1" bestFit="1" customWidth="1"/>
    <col min="33" max="33" width="9.1328125" style="1"/>
    <col min="34" max="34" width="9.73046875" style="1" bestFit="1" customWidth="1"/>
    <col min="35" max="16384" width="9.1328125" style="1"/>
  </cols>
  <sheetData>
    <row r="1" spans="2:34" ht="27.75" customHeight="1" x14ac:dyDescent="0.45">
      <c r="AA1" s="87"/>
      <c r="AB1" s="87"/>
      <c r="AC1" s="87" t="s">
        <v>149</v>
      </c>
      <c r="AD1" s="87"/>
      <c r="AE1" s="87"/>
      <c r="AF1" s="87" t="s">
        <v>150</v>
      </c>
      <c r="AG1" s="87"/>
      <c r="AH1" s="87" t="s">
        <v>151</v>
      </c>
    </row>
    <row r="2" spans="2:34" x14ac:dyDescent="0.45">
      <c r="B2" s="2"/>
      <c r="C2" s="5"/>
      <c r="D2" s="34"/>
      <c r="E2" s="34"/>
      <c r="F2" s="5"/>
      <c r="G2" s="9"/>
      <c r="H2" s="30"/>
      <c r="AA2" s="87"/>
      <c r="AB2" s="87"/>
      <c r="AC2" s="87"/>
      <c r="AD2" s="87"/>
      <c r="AE2" s="87"/>
      <c r="AF2" s="87"/>
      <c r="AG2" s="87"/>
      <c r="AH2" s="87"/>
    </row>
    <row r="3" spans="2:34" x14ac:dyDescent="0.45">
      <c r="B3" s="3"/>
      <c r="C3" s="39" t="s">
        <v>136</v>
      </c>
      <c r="D3" s="36" t="str">
        <f>'Balance Sheet'!B1</f>
        <v>KO</v>
      </c>
      <c r="E3" s="32"/>
      <c r="F3" s="6"/>
      <c r="G3" s="10"/>
      <c r="H3" s="30"/>
      <c r="AA3" s="87"/>
      <c r="AB3" s="87"/>
      <c r="AC3" s="87"/>
      <c r="AD3" s="87"/>
      <c r="AE3" s="87"/>
      <c r="AF3" s="87"/>
      <c r="AG3" s="87"/>
      <c r="AH3" s="87"/>
    </row>
    <row r="4" spans="2:34" x14ac:dyDescent="0.45">
      <c r="B4" s="42" t="s">
        <v>148</v>
      </c>
      <c r="C4" s="39"/>
      <c r="D4" s="36"/>
      <c r="E4" s="32"/>
      <c r="F4" s="6"/>
      <c r="G4" s="10"/>
      <c r="H4" s="30"/>
      <c r="AA4" s="87"/>
      <c r="AB4" s="87"/>
      <c r="AC4" s="87"/>
      <c r="AD4" s="87"/>
      <c r="AE4" s="87"/>
      <c r="AF4" s="87"/>
      <c r="AG4" s="87"/>
      <c r="AH4" s="87"/>
    </row>
    <row r="5" spans="2:34" x14ac:dyDescent="0.45">
      <c r="B5" s="3"/>
      <c r="C5" s="6"/>
      <c r="D5" s="32"/>
      <c r="E5" s="36"/>
      <c r="F5" s="6"/>
      <c r="G5" s="10"/>
      <c r="H5" s="41"/>
      <c r="AA5" s="87"/>
      <c r="AB5" s="87"/>
      <c r="AC5" s="87"/>
      <c r="AD5" s="87"/>
      <c r="AE5" s="87"/>
      <c r="AF5" s="87">
        <f>IF(ISNUMBER('Income Statement'!C5)=TRUE,'Income Statement'!C5,0)</f>
        <v>46854000</v>
      </c>
      <c r="AG5" s="87"/>
      <c r="AH5" s="87">
        <f>IF(ISNUMBER('Statement of Cash Flows'!C5)=TRUE,'Statement of Cash Flows'!C5,0)</f>
        <v>8584000</v>
      </c>
    </row>
    <row r="6" spans="2:34" x14ac:dyDescent="0.45">
      <c r="B6" s="3"/>
      <c r="C6" s="32" t="s">
        <v>98</v>
      </c>
      <c r="D6" s="32" t="s">
        <v>99</v>
      </c>
      <c r="E6" s="43">
        <f t="shared" ref="E6:E24" si="0">IF(ISNUMBER($AA6)=TRUE,$AA6,"n.a.")</f>
        <v>0.28932448917352849</v>
      </c>
      <c r="F6" s="6"/>
      <c r="G6" s="10"/>
      <c r="H6" s="30"/>
      <c r="AA6" s="87">
        <f>(0.65*($AF$19-$AF$21)+$AF$24)/($D$28+$AD$44)</f>
        <v>0.28932448917352849</v>
      </c>
      <c r="AB6" s="87"/>
      <c r="AC6" s="87"/>
      <c r="AD6" s="87"/>
      <c r="AE6" s="87"/>
      <c r="AF6" s="87">
        <f>IF(ISNUMBER('Income Statement'!C6)=TRUE,'Income Statement'!C6,0)</f>
        <v>18421000</v>
      </c>
      <c r="AG6" s="87"/>
      <c r="AH6" s="87">
        <f>IF(ISNUMBER('Statement of Cash Flows'!C6)=TRUE,'Statement of Cash Flows'!C6,0)</f>
        <v>0</v>
      </c>
    </row>
    <row r="7" spans="2:34" x14ac:dyDescent="0.45">
      <c r="B7" s="3"/>
      <c r="C7" s="32" t="s">
        <v>100</v>
      </c>
      <c r="D7" s="8" t="s">
        <v>101</v>
      </c>
      <c r="E7" s="43">
        <f t="shared" si="0"/>
        <v>0.28014638609332115</v>
      </c>
      <c r="F7" s="6"/>
      <c r="G7" s="10"/>
      <c r="H7" s="30"/>
      <c r="AA7" s="87">
        <f>($AF$24)/($AD$44)</f>
        <v>0.28014638609332115</v>
      </c>
      <c r="AB7" s="87"/>
      <c r="AC7" s="88">
        <f>IF(ISNUMBER('Balance Sheet'!C7)=TRUE,'Balance Sheet'!C7,0)</f>
        <v>10414000</v>
      </c>
      <c r="AD7" s="87">
        <f>IF(ISNUMBER('Balance Sheet'!D7)=TRUE,'Balance Sheet'!D7,0)</f>
        <v>8442000</v>
      </c>
      <c r="AE7" s="87"/>
      <c r="AF7" s="87">
        <f>IF(ISNUMBER('Income Statement'!C7)=TRUE,'Income Statement'!C7,0)</f>
        <v>28433000</v>
      </c>
      <c r="AG7" s="87"/>
      <c r="AH7" s="87">
        <f>IF(ISNUMBER('Statement of Cash Flows'!C7)=TRUE,'Statement of Cash Flows'!C7,0)</f>
        <v>0</v>
      </c>
    </row>
    <row r="8" spans="2:34" x14ac:dyDescent="0.45">
      <c r="B8" s="3"/>
      <c r="C8" s="8" t="s">
        <v>102</v>
      </c>
      <c r="D8" s="8" t="s">
        <v>103</v>
      </c>
      <c r="E8" s="43">
        <f t="shared" si="0"/>
        <v>0.11009063058463109</v>
      </c>
      <c r="F8" s="6"/>
      <c r="G8" s="10"/>
      <c r="H8" s="30"/>
      <c r="AA8" s="87">
        <f>(0.65*($AF$19-$AF$21)+$AF$24)/($AD$20)</f>
        <v>0.11009063058463109</v>
      </c>
      <c r="AB8" s="87"/>
      <c r="AC8" s="87">
        <f>IF(ISNUMBER('Balance Sheet'!C8)=TRUE,'Balance Sheet'!C8,0)</f>
        <v>9854000</v>
      </c>
      <c r="AD8" s="87">
        <f>IF(ISNUMBER('Balance Sheet'!D8)=TRUE,'Balance Sheet'!D8,0)</f>
        <v>8109000</v>
      </c>
      <c r="AE8" s="87"/>
      <c r="AF8" s="87">
        <f>IF(ISNUMBER('Income Statement'!C8)=TRUE,'Income Statement'!C8,0)</f>
        <v>0</v>
      </c>
      <c r="AG8" s="87"/>
      <c r="AH8" s="87">
        <f>IF(ISNUMBER('Statement of Cash Flows'!C8)=TRUE,'Statement of Cash Flows'!C8,0)</f>
        <v>1977000</v>
      </c>
    </row>
    <row r="9" spans="2:34" x14ac:dyDescent="0.45">
      <c r="B9" s="3"/>
      <c r="C9" s="32" t="s">
        <v>104</v>
      </c>
      <c r="D9" s="32" t="s">
        <v>105</v>
      </c>
      <c r="E9" s="38">
        <f t="shared" si="0"/>
        <v>0.54371388121707243</v>
      </c>
      <c r="F9" s="6"/>
      <c r="G9" s="10"/>
      <c r="H9" s="30"/>
      <c r="AA9" s="87">
        <f>$AF$5/$AD$20</f>
        <v>0.54371388121707243</v>
      </c>
      <c r="AB9" s="87"/>
      <c r="AC9" s="87">
        <f>IF(ISNUMBER('Balance Sheet'!C9)=TRUE,'Balance Sheet'!C9,0)</f>
        <v>4873000</v>
      </c>
      <c r="AD9" s="87">
        <f>IF(ISNUMBER('Balance Sheet'!D9)=TRUE,'Balance Sheet'!D9,0)</f>
        <v>4759000</v>
      </c>
      <c r="AE9" s="87"/>
      <c r="AF9" s="87">
        <f>IF(ISNUMBER('Income Statement'!C9)=TRUE,'Income Statement'!C9,0)</f>
        <v>0</v>
      </c>
      <c r="AG9" s="87"/>
      <c r="AH9" s="87">
        <f>IF(ISNUMBER('Statement of Cash Flows'!C9)=TRUE,'Statement of Cash Flows'!C9,0)</f>
        <v>871000</v>
      </c>
    </row>
    <row r="10" spans="2:34" x14ac:dyDescent="0.45">
      <c r="B10" s="3"/>
      <c r="C10" s="32" t="s">
        <v>106</v>
      </c>
      <c r="D10" s="8" t="s">
        <v>107</v>
      </c>
      <c r="E10" s="45">
        <f t="shared" si="0"/>
        <v>5.643688725490196</v>
      </c>
      <c r="F10" s="6"/>
      <c r="G10" s="10"/>
      <c r="H10" s="30"/>
      <c r="AA10" s="87">
        <f>$AF$6/AD10</f>
        <v>5.643688725490196</v>
      </c>
      <c r="AB10" s="87"/>
      <c r="AC10" s="87">
        <f>IF(ISNUMBER('Balance Sheet'!C10)=TRUE,'Balance Sheet'!C10,0)</f>
        <v>3277000</v>
      </c>
      <c r="AD10" s="87">
        <f>IF(ISNUMBER('Balance Sheet'!D10)=TRUE,'Balance Sheet'!D10,0)</f>
        <v>3264000</v>
      </c>
      <c r="AE10" s="87"/>
      <c r="AF10" s="87">
        <f>IF(ISNUMBER('Income Statement'!C10)=TRUE,'Income Statement'!C10,0)</f>
        <v>0</v>
      </c>
      <c r="AG10" s="87"/>
      <c r="AH10" s="87">
        <f>IF(ISNUMBER('Statement of Cash Flows'!C10)=TRUE,'Statement of Cash Flows'!C10,0)</f>
        <v>0</v>
      </c>
    </row>
    <row r="11" spans="2:34" x14ac:dyDescent="0.45">
      <c r="B11" s="3"/>
      <c r="C11" s="8" t="s">
        <v>108</v>
      </c>
      <c r="D11" s="8" t="s">
        <v>109</v>
      </c>
      <c r="E11" s="45">
        <f t="shared" si="0"/>
        <v>64.674013354323876</v>
      </c>
      <c r="F11" s="6"/>
      <c r="G11" s="10"/>
      <c r="H11" s="30"/>
      <c r="AA11" s="87">
        <f>AD10/($AF$6/365)</f>
        <v>64.674013354323876</v>
      </c>
      <c r="AB11" s="87"/>
      <c r="AC11" s="87">
        <f>IF(ISNUMBER('Balance Sheet'!C11)=TRUE,'Balance Sheet'!C11,0)</f>
        <v>2886000</v>
      </c>
      <c r="AD11" s="87">
        <f>IF(ISNUMBER('Balance Sheet'!D11)=TRUE,'Balance Sheet'!D11,0)</f>
        <v>5754000</v>
      </c>
      <c r="AE11" s="87"/>
      <c r="AF11" s="87">
        <f>IF(ISNUMBER('Income Statement'!C11)=TRUE,'Income Statement'!C11,0)</f>
        <v>18205000</v>
      </c>
      <c r="AG11" s="87"/>
      <c r="AH11" s="87">
        <f>IF(ISNUMBER('Statement of Cash Flows'!C11)=TRUE,'Statement of Cash Flows'!C11,0)</f>
        <v>0</v>
      </c>
    </row>
    <row r="12" spans="2:34" x14ac:dyDescent="0.45">
      <c r="B12" s="3"/>
      <c r="C12" s="6" t="s">
        <v>121</v>
      </c>
      <c r="D12" s="32" t="s">
        <v>124</v>
      </c>
      <c r="E12" s="38">
        <f t="shared" si="0"/>
        <v>9.8453456608531198</v>
      </c>
      <c r="F12" s="6"/>
      <c r="G12" s="10"/>
      <c r="H12" s="30"/>
      <c r="AA12" s="87">
        <f>$AF$5/$AD$9</f>
        <v>9.8453456608531198</v>
      </c>
      <c r="AB12" s="87"/>
      <c r="AC12" s="87">
        <f>IF(ISNUMBER('Balance Sheet'!C12)=TRUE,'Balance Sheet'!C12,0)</f>
        <v>31304000</v>
      </c>
      <c r="AD12" s="87">
        <f>IF(ISNUMBER('Balance Sheet'!D12)=TRUE,'Balance Sheet'!D12,0)</f>
        <v>30328000</v>
      </c>
      <c r="AE12" s="87"/>
      <c r="AF12" s="87">
        <f>IF(ISNUMBER('Income Statement'!C12)=TRUE,'Income Statement'!C12,0)</f>
        <v>0</v>
      </c>
      <c r="AG12" s="87"/>
      <c r="AH12" s="87">
        <f>IF(ISNUMBER('Statement of Cash Flows'!C12)=TRUE,'Statement of Cash Flows'!C12,0)</f>
        <v>0</v>
      </c>
    </row>
    <row r="13" spans="2:34" x14ac:dyDescent="0.45">
      <c r="B13" s="3"/>
      <c r="C13" s="6" t="s">
        <v>110</v>
      </c>
      <c r="D13" s="8" t="s">
        <v>125</v>
      </c>
      <c r="E13" s="38">
        <f t="shared" si="0"/>
        <v>37.073355529944081</v>
      </c>
      <c r="F13" s="6"/>
      <c r="G13" s="10"/>
      <c r="H13" s="30"/>
      <c r="AA13" s="87">
        <f>$AD$9/($AF$5/365)</f>
        <v>37.073355529944081</v>
      </c>
      <c r="AB13" s="87"/>
      <c r="AC13" s="87">
        <f>IF(ISNUMBER('Balance Sheet'!C13)=TRUE,'Balance Sheet'!C13,0)</f>
        <v>11512000</v>
      </c>
      <c r="AD13" s="87">
        <f>IF(ISNUMBER('Balance Sheet'!D13)=TRUE,'Balance Sheet'!D13,0)</f>
        <v>10448000</v>
      </c>
      <c r="AE13" s="87"/>
      <c r="AF13" s="87">
        <f>IF(ISNUMBER('Income Statement'!C13)=TRUE,'Income Statement'!C13,0)</f>
        <v>0</v>
      </c>
      <c r="AG13" s="87"/>
      <c r="AH13" s="87">
        <f>IF(ISNUMBER('Statement of Cash Flows'!C13)=TRUE,'Statement of Cash Flows'!C13,0)</f>
        <v>-932000</v>
      </c>
    </row>
    <row r="14" spans="2:34" x14ac:dyDescent="0.45">
      <c r="B14" s="3"/>
      <c r="C14" s="8" t="s">
        <v>111</v>
      </c>
      <c r="D14" s="8" t="s">
        <v>126</v>
      </c>
      <c r="E14" s="43">
        <f t="shared" si="0"/>
        <v>0.19605583301318991</v>
      </c>
      <c r="F14" s="6"/>
      <c r="G14" s="10"/>
      <c r="H14" s="30"/>
      <c r="AA14" s="87">
        <f>$AF$24/$AF$5</f>
        <v>0.19605583301318991</v>
      </c>
      <c r="AB14" s="87"/>
      <c r="AC14" s="87">
        <f>IF(ISNUMBER('Balance Sheet'!C14)=TRUE,'Balance Sheet'!C14,0)</f>
        <v>14967000</v>
      </c>
      <c r="AD14" s="87">
        <f>IF(ISNUMBER('Balance Sheet'!D14)=TRUE,'Balance Sheet'!D14,0)</f>
        <v>14476000</v>
      </c>
      <c r="AE14" s="87"/>
      <c r="AF14" s="87">
        <f>IF(ISNUMBER('Income Statement'!C14)=TRUE,'Income Statement'!C14,0)</f>
        <v>0</v>
      </c>
      <c r="AG14" s="87"/>
      <c r="AH14" s="87">
        <f>IF(ISNUMBER('Statement of Cash Flows'!C14)=TRUE,'Statement of Cash Flows'!C14,0)</f>
        <v>10542000</v>
      </c>
    </row>
    <row r="15" spans="2:34" x14ac:dyDescent="0.45">
      <c r="B15" s="3"/>
      <c r="C15" s="6" t="s">
        <v>112</v>
      </c>
      <c r="D15" s="32" t="s">
        <v>127</v>
      </c>
      <c r="E15" s="43">
        <f t="shared" si="0"/>
        <v>0.202478977248474</v>
      </c>
      <c r="F15" s="6"/>
      <c r="G15" s="10"/>
      <c r="H15" s="30"/>
      <c r="AA15" s="87">
        <f>(0.65*($AF$19-$AF$21)+$AF$24)/($AF$5)</f>
        <v>0.202478977248474</v>
      </c>
      <c r="AB15" s="87"/>
      <c r="AC15" s="87">
        <f>IF(ISNUMBER('Balance Sheet'!C15)=TRUE,'Balance Sheet'!C15,0)</f>
        <v>12312000</v>
      </c>
      <c r="AD15" s="87">
        <f>IF(ISNUMBER('Balance Sheet'!D15)=TRUE,'Balance Sheet'!D15,0)</f>
        <v>12255000</v>
      </c>
      <c r="AE15" s="87"/>
      <c r="AF15" s="87">
        <f>IF(ISNUMBER('Income Statement'!C15)=TRUE,'Income Statement'!C15,0)</f>
        <v>10228000</v>
      </c>
      <c r="AG15" s="87"/>
      <c r="AH15" s="87">
        <f>IF(ISNUMBER('Statement of Cash Flows'!C15)=TRUE,'Statement of Cash Flows'!C15,0)</f>
        <v>0</v>
      </c>
    </row>
    <row r="16" spans="2:34" x14ac:dyDescent="0.45">
      <c r="B16" s="3"/>
      <c r="C16" s="6" t="s">
        <v>113</v>
      </c>
      <c r="D16" s="32" t="s">
        <v>128</v>
      </c>
      <c r="E16" s="38">
        <f t="shared" si="0"/>
        <v>0.36604429835457797</v>
      </c>
      <c r="F16" s="8"/>
      <c r="G16" s="10"/>
      <c r="H16" s="30"/>
      <c r="AA16" s="87">
        <f>$AC$28/($AC$28+$AC$44)</f>
        <v>0.36604429835457797</v>
      </c>
      <c r="AB16" s="87"/>
      <c r="AC16" s="87">
        <f>IF(ISNUMBER('Balance Sheet'!C16)=TRUE,'Balance Sheet'!C16,0)</f>
        <v>15299000</v>
      </c>
      <c r="AD16" s="87">
        <f>IF(ISNUMBER('Balance Sheet'!D16)=TRUE,'Balance Sheet'!D16,0)</f>
        <v>15082000</v>
      </c>
      <c r="AE16" s="87"/>
      <c r="AF16" s="87">
        <f>IF(ISNUMBER('Income Statement'!C16)=TRUE,'Income Statement'!C16,0)</f>
        <v>0</v>
      </c>
      <c r="AG16" s="87"/>
      <c r="AH16" s="87">
        <f>IF(ISNUMBER('Statement of Cash Flows'!C16)=TRUE,'Statement of Cash Flows'!C16,0)</f>
        <v>0</v>
      </c>
    </row>
    <row r="17" spans="2:34" x14ac:dyDescent="0.45">
      <c r="B17" s="3"/>
      <c r="C17" s="6" t="s">
        <v>114</v>
      </c>
      <c r="D17" s="32" t="s">
        <v>129</v>
      </c>
      <c r="E17" s="38">
        <f t="shared" si="0"/>
        <v>0.5773972809212311</v>
      </c>
      <c r="F17" s="8"/>
      <c r="G17" s="10"/>
      <c r="H17" s="30"/>
      <c r="AA17" s="87">
        <f>$AC$28/$AC$44</f>
        <v>0.5773972809212311</v>
      </c>
      <c r="AB17" s="87"/>
      <c r="AC17" s="87">
        <f>IF(ISNUMBER('Balance Sheet'!C17)=TRUE,'Balance Sheet'!C17,0)</f>
        <v>0</v>
      </c>
      <c r="AD17" s="87">
        <f>IF(ISNUMBER('Balance Sheet'!D17)=TRUE,'Balance Sheet'!D17,0)</f>
        <v>0</v>
      </c>
      <c r="AE17" s="87"/>
      <c r="AF17" s="87">
        <f>IF(ISNUMBER('Income Statement'!C17)=TRUE,'Income Statement'!C17,0)</f>
        <v>0</v>
      </c>
      <c r="AG17" s="87"/>
      <c r="AH17" s="87">
        <f>IF(ISNUMBER('Statement of Cash Flows'!C17)=TRUE,'Statement of Cash Flows'!C17,0)</f>
        <v>-2550000</v>
      </c>
    </row>
    <row r="18" spans="2:34" x14ac:dyDescent="0.45">
      <c r="B18" s="3"/>
      <c r="C18" s="6" t="s">
        <v>115</v>
      </c>
      <c r="D18" s="32" t="s">
        <v>130</v>
      </c>
      <c r="E18" s="38">
        <f t="shared" si="0"/>
        <v>0.63163622230858918</v>
      </c>
      <c r="F18" s="8"/>
      <c r="G18" s="10"/>
      <c r="H18" s="30"/>
      <c r="AA18" s="87">
        <f>$AC$33/$AC$20</f>
        <v>0.63163622230858918</v>
      </c>
      <c r="AB18" s="87"/>
      <c r="AC18" s="87">
        <f>IF(ISNUMBER('Balance Sheet'!C18)=TRUE,'Balance Sheet'!C18,0)</f>
        <v>4661000</v>
      </c>
      <c r="AD18" s="87">
        <f>IF(ISNUMBER('Balance Sheet'!D18)=TRUE,'Balance Sheet'!D18,0)</f>
        <v>3585000</v>
      </c>
      <c r="AE18" s="87"/>
      <c r="AF18" s="87">
        <f>IF(ISNUMBER('Income Statement'!C18)=TRUE,'Income Statement'!C18,0)</f>
        <v>1110000</v>
      </c>
      <c r="AG18" s="87"/>
      <c r="AH18" s="87">
        <f>IF(ISNUMBER('Statement of Cash Flows'!C18)=TRUE,'Statement of Cash Flows'!C18,0)</f>
        <v>-1991000</v>
      </c>
    </row>
    <row r="19" spans="2:34" x14ac:dyDescent="0.45">
      <c r="B19" s="3"/>
      <c r="C19" s="6" t="s">
        <v>116</v>
      </c>
      <c r="D19" s="32" t="s">
        <v>131</v>
      </c>
      <c r="E19" s="38">
        <f t="shared" si="0"/>
        <v>25.788336933045358</v>
      </c>
      <c r="F19" s="6"/>
      <c r="G19" s="10"/>
      <c r="H19" s="30"/>
      <c r="AA19" s="87">
        <f>$AF$19/$AF$20</f>
        <v>25.788336933045358</v>
      </c>
      <c r="AB19" s="87"/>
      <c r="AC19" s="87">
        <f>IF(ISNUMBER('Balance Sheet'!C19)=TRUE,'Balance Sheet'!C19,0)</f>
        <v>0</v>
      </c>
      <c r="AD19" s="87">
        <f>IF(ISNUMBER('Balance Sheet'!D19)=TRUE,'Balance Sheet'!D19,0)</f>
        <v>0</v>
      </c>
      <c r="AE19" s="87"/>
      <c r="AF19" s="87">
        <f>IF(ISNUMBER('Income Statement'!C19)=TRUE,'Income Statement'!C19,0)</f>
        <v>11940000</v>
      </c>
      <c r="AG19" s="87"/>
      <c r="AH19" s="87">
        <f>IF(ISNUMBER('Statement of Cash Flows'!C19)=TRUE,'Statement of Cash Flows'!C19,0)</f>
        <v>327000</v>
      </c>
    </row>
    <row r="20" spans="2:34" x14ac:dyDescent="0.45">
      <c r="B20" s="3"/>
      <c r="C20" s="6" t="s">
        <v>117</v>
      </c>
      <c r="D20" s="32" t="s">
        <v>133</v>
      </c>
      <c r="E20" s="38">
        <f t="shared" si="0"/>
        <v>30.058315334773219</v>
      </c>
      <c r="F20" s="6"/>
      <c r="G20" s="10"/>
      <c r="H20" s="30"/>
      <c r="AA20" s="87">
        <f>($AF$19+$AH$8)/$AF$20</f>
        <v>30.058315334773219</v>
      </c>
      <c r="AB20" s="87"/>
      <c r="AC20" s="87">
        <f>IF(ISNUMBER('Balance Sheet'!C20)=TRUE,'Balance Sheet'!C20,0)</f>
        <v>90055000</v>
      </c>
      <c r="AD20" s="87">
        <f>IF(ISNUMBER('Balance Sheet'!D20)=TRUE,'Balance Sheet'!D20,0)</f>
        <v>86174000</v>
      </c>
      <c r="AE20" s="87"/>
      <c r="AF20" s="87">
        <f>IF(ISNUMBER('Income Statement'!C20)=TRUE,'Income Statement'!C20,0)</f>
        <v>463000</v>
      </c>
      <c r="AG20" s="87"/>
      <c r="AH20" s="87">
        <f>IF(ISNUMBER('Statement of Cash Flows'!C20)=TRUE,'Statement of Cash Flows'!C20,0)</f>
        <v>-4214000</v>
      </c>
    </row>
    <row r="21" spans="2:34" x14ac:dyDescent="0.45">
      <c r="B21" s="3"/>
      <c r="C21" s="6" t="s">
        <v>134</v>
      </c>
      <c r="D21" s="32" t="s">
        <v>132</v>
      </c>
      <c r="E21" s="45">
        <f t="shared" si="0"/>
        <v>3.8787407695297316E-2</v>
      </c>
      <c r="F21" s="6"/>
      <c r="G21" s="10"/>
      <c r="H21" s="30"/>
      <c r="AA21" s="87">
        <f>($AC$12-$AC$27)/$AC$20</f>
        <v>3.8787407695297316E-2</v>
      </c>
      <c r="AB21" s="87"/>
      <c r="AC21" s="87">
        <f>IF(ISNUMBER('Balance Sheet'!C21)=TRUE,'Balance Sheet'!C21,0)</f>
        <v>0</v>
      </c>
      <c r="AD21" s="87">
        <f>IF(ISNUMBER('Balance Sheet'!D21)=TRUE,'Balance Sheet'!D21,0)</f>
        <v>0</v>
      </c>
      <c r="AE21" s="87"/>
      <c r="AF21" s="87">
        <f>IF(ISNUMBER('Income Statement'!C21)=TRUE,'Income Statement'!C21,0)</f>
        <v>11477000</v>
      </c>
      <c r="AG21" s="87"/>
      <c r="AH21" s="87">
        <f>IF(ISNUMBER('Statement of Cash Flows'!C21)=TRUE,'Statement of Cash Flows'!C21,0)</f>
        <v>0</v>
      </c>
    </row>
    <row r="22" spans="2:34" x14ac:dyDescent="0.45">
      <c r="B22" s="3"/>
      <c r="C22" s="6" t="s">
        <v>118</v>
      </c>
      <c r="D22" s="32" t="s">
        <v>122</v>
      </c>
      <c r="E22" s="45">
        <f t="shared" si="0"/>
        <v>1.1255977850490813</v>
      </c>
      <c r="F22" s="6"/>
      <c r="G22" s="10"/>
      <c r="H22" s="30"/>
      <c r="AA22" s="87">
        <f>$AC$12/$AC$27</f>
        <v>1.1255977850490813</v>
      </c>
      <c r="AB22" s="87"/>
      <c r="AC22" s="87">
        <f>IF(ISNUMBER('Balance Sheet'!C22)=TRUE,'Balance Sheet'!C22,0)</f>
        <v>0</v>
      </c>
      <c r="AD22" s="87">
        <f>IF(ISNUMBER('Balance Sheet'!D22)=TRUE,'Balance Sheet'!D22,0)</f>
        <v>0</v>
      </c>
      <c r="AE22" s="87"/>
      <c r="AF22" s="87">
        <f>IF(ISNUMBER('Income Statement'!C22)=TRUE,'Income Statement'!C22,0)</f>
        <v>2851000</v>
      </c>
      <c r="AG22" s="87"/>
      <c r="AH22" s="87">
        <f>IF(ISNUMBER('Statement of Cash Flows'!C22)=TRUE,'Statement of Cash Flows'!C22,0)</f>
        <v>0</v>
      </c>
    </row>
    <row r="23" spans="2:34" x14ac:dyDescent="0.45">
      <c r="B23" s="3"/>
      <c r="C23" s="6" t="s">
        <v>119</v>
      </c>
      <c r="D23" s="32" t="s">
        <v>123</v>
      </c>
      <c r="E23" s="45">
        <f t="shared" si="0"/>
        <v>0.27917383820998276</v>
      </c>
      <c r="F23" s="6"/>
      <c r="G23" s="10"/>
      <c r="H23" s="30"/>
      <c r="AA23" s="87">
        <f>($AC$12-$AC$10 -$AC$11)/$AC$20</f>
        <v>0.27917383820998276</v>
      </c>
      <c r="AB23" s="87"/>
      <c r="AC23" s="87">
        <f>IF(ISNUMBER('Balance Sheet'!C23)=TRUE,'Balance Sheet'!C23,0)</f>
        <v>0</v>
      </c>
      <c r="AD23" s="87">
        <f>IF(ISNUMBER('Balance Sheet'!D23)=TRUE,'Balance Sheet'!D23,0)</f>
        <v>0</v>
      </c>
      <c r="AE23" s="87"/>
      <c r="AF23" s="87">
        <f>IF(ISNUMBER('Income Statement'!C23)=TRUE,'Income Statement'!C23,0)</f>
        <v>-42000</v>
      </c>
      <c r="AG23" s="87"/>
      <c r="AH23" s="87">
        <f>IF(ISNUMBER('Statement of Cash Flows'!C23)=TRUE,'Statement of Cash Flows'!C23,0)</f>
        <v>-4969000</v>
      </c>
    </row>
    <row r="24" spans="2:34" x14ac:dyDescent="0.45">
      <c r="B24" s="3"/>
      <c r="C24" s="6" t="s">
        <v>120</v>
      </c>
      <c r="D24" s="32" t="s">
        <v>135</v>
      </c>
      <c r="E24" s="45">
        <f t="shared" si="0"/>
        <v>0.22506246182888234</v>
      </c>
      <c r="F24" s="6"/>
      <c r="G24" s="10"/>
      <c r="H24" s="30"/>
      <c r="AA24" s="87">
        <f>($AC$12-$AC$9-$AC$10-$AC$11)/$AC$20</f>
        <v>0.22506246182888234</v>
      </c>
      <c r="AB24" s="87"/>
      <c r="AC24" s="87">
        <f>IF(ISNUMBER('Balance Sheet'!C24)=TRUE,'Balance Sheet'!C24,0)</f>
        <v>9886000</v>
      </c>
      <c r="AD24" s="87">
        <f>IF(ISNUMBER('Balance Sheet'!D24)=TRUE,'Balance Sheet'!D24,0)</f>
        <v>9151000</v>
      </c>
      <c r="AE24" s="87"/>
      <c r="AF24" s="87">
        <f>IF(ISNUMBER('Income Statement'!C24)=TRUE,'Income Statement'!C24,0)</f>
        <v>9186000</v>
      </c>
      <c r="AG24" s="87"/>
      <c r="AH24" s="87">
        <f>IF(ISNUMBER('Statement of Cash Flows'!C24)=TRUE,'Statement of Cash Flows'!C24,0)</f>
        <v>-3504000</v>
      </c>
    </row>
    <row r="25" spans="2:34" x14ac:dyDescent="0.45">
      <c r="B25" s="3"/>
      <c r="C25" s="6"/>
      <c r="D25" s="32"/>
      <c r="E25" s="37"/>
      <c r="F25" s="6"/>
      <c r="G25" s="10"/>
      <c r="H25" s="30"/>
      <c r="AA25" s="87"/>
      <c r="AB25" s="87"/>
      <c r="AC25" s="87">
        <f>IF(ISNUMBER('Balance Sheet'!C25)=TRUE,'Balance Sheet'!C25,0)</f>
        <v>17925000</v>
      </c>
      <c r="AD25" s="87">
        <f>IF(ISNUMBER('Balance Sheet'!D25)=TRUE,'Balance Sheet'!D25,0)</f>
        <v>17874000</v>
      </c>
      <c r="AE25" s="87"/>
      <c r="AF25" s="87">
        <f>IF(ISNUMBER('Income Statement'!C25)=TRUE,'Income Statement'!C25,0)</f>
        <v>0</v>
      </c>
      <c r="AG25" s="87"/>
      <c r="AH25" s="87">
        <f>IF(ISNUMBER('Statement of Cash Flows'!C25)=TRUE,'Statement of Cash Flows'!C25,0)</f>
        <v>4711000</v>
      </c>
    </row>
    <row r="26" spans="2:34" x14ac:dyDescent="0.45">
      <c r="B26" s="3"/>
      <c r="C26" s="6" t="s">
        <v>137</v>
      </c>
      <c r="D26" s="32"/>
      <c r="E26" s="32"/>
      <c r="F26" s="6"/>
      <c r="G26" s="10"/>
      <c r="H26" s="30"/>
      <c r="AA26" s="87"/>
      <c r="AB26" s="87"/>
      <c r="AC26" s="87">
        <f>IF(ISNUMBER('Balance Sheet'!C26)=TRUE,'Balance Sheet'!C26,0)</f>
        <v>0</v>
      </c>
      <c r="AD26" s="87">
        <f>IF(ISNUMBER('Balance Sheet'!D26)=TRUE,'Balance Sheet'!D26,0)</f>
        <v>796000</v>
      </c>
      <c r="AE26" s="87"/>
      <c r="AF26" s="87">
        <f>IF(ISNUMBER('Income Statement'!C26)=TRUE,'Income Statement'!C26,0)</f>
        <v>0</v>
      </c>
      <c r="AG26" s="87"/>
      <c r="AH26" s="87">
        <f>IF(ISNUMBER('Statement of Cash Flows'!C26)=TRUE,'Statement of Cash Flows'!C26,0)</f>
        <v>17000</v>
      </c>
    </row>
    <row r="27" spans="2:34" x14ac:dyDescent="0.45">
      <c r="B27" s="3"/>
      <c r="C27" s="6" t="s">
        <v>146</v>
      </c>
      <c r="D27" s="32"/>
      <c r="E27" s="32"/>
      <c r="F27" s="6"/>
      <c r="G27" s="10"/>
      <c r="H27" s="30"/>
      <c r="AA27" s="87"/>
      <c r="AB27" s="87"/>
      <c r="AC27" s="87">
        <f>IF(ISNUMBER('Balance Sheet'!C27)=TRUE,'Balance Sheet'!C27,0)</f>
        <v>27811000</v>
      </c>
      <c r="AD27" s="87">
        <f>IF(ISNUMBER('Balance Sheet'!D27)=TRUE,'Balance Sheet'!D27,0)</f>
        <v>27821000</v>
      </c>
      <c r="AE27" s="87"/>
      <c r="AF27" s="87">
        <f>IF(ISNUMBER('Income Statement'!C27)=TRUE,'Income Statement'!C27,0)</f>
        <v>0</v>
      </c>
      <c r="AG27" s="87"/>
      <c r="AH27" s="87">
        <f>IF(ISNUMBER('Statement of Cash Flows'!C27)=TRUE,'Statement of Cash Flows'!C27,0)</f>
        <v>-3745000</v>
      </c>
    </row>
    <row r="28" spans="2:34" x14ac:dyDescent="0.45">
      <c r="B28" s="3"/>
      <c r="C28" s="6" t="s">
        <v>138</v>
      </c>
      <c r="D28" s="32"/>
      <c r="E28" s="32"/>
      <c r="F28" s="6"/>
      <c r="G28" s="10"/>
      <c r="H28" s="30"/>
      <c r="AA28" s="87"/>
      <c r="AB28" s="87"/>
      <c r="AC28" s="87">
        <f>IF(ISNUMBER('Balance Sheet'!C28)=TRUE,'Balance Sheet'!C28,0)</f>
        <v>19154000</v>
      </c>
      <c r="AD28" s="87">
        <f>IF(ISNUMBER('Balance Sheet'!D28)=TRUE,'Balance Sheet'!D28,0)</f>
        <v>14736000</v>
      </c>
      <c r="AE28" s="87"/>
      <c r="AF28" s="87">
        <f>IF(ISNUMBER('Income Statement'!C28)=TRUE,'Income Statement'!C28,0)</f>
        <v>0</v>
      </c>
      <c r="AG28" s="87"/>
      <c r="AH28" s="87">
        <f>IF(ISNUMBER('Statement of Cash Flows'!C28)=TRUE,'Statement of Cash Flows'!C28,0)</f>
        <v>-611000</v>
      </c>
    </row>
    <row r="29" spans="2:34" x14ac:dyDescent="0.45">
      <c r="B29" s="3"/>
      <c r="C29" s="6" t="s">
        <v>104</v>
      </c>
      <c r="D29" s="32" t="s">
        <v>139</v>
      </c>
      <c r="E29" s="44">
        <f>IF(ISNUMBER($AA29)=TRUE,$AA29,"n.a.")</f>
        <v>0.53173995199428015</v>
      </c>
      <c r="F29" s="6"/>
      <c r="G29" s="10"/>
      <c r="H29" s="30"/>
      <c r="AA29" s="87">
        <f>$AF$5/(0.5*($AC$20+$AD$20))</f>
        <v>0.53173995199428015</v>
      </c>
      <c r="AB29" s="87"/>
      <c r="AC29" s="87">
        <f>IF(ISNUMBER('Balance Sheet'!C29)=TRUE,'Balance Sheet'!C29,0)</f>
        <v>3498000</v>
      </c>
      <c r="AD29" s="87">
        <f>IF(ISNUMBER('Balance Sheet'!D29)=TRUE,'Balance Sheet'!D29,0)</f>
        <v>5468000</v>
      </c>
      <c r="AE29" s="87"/>
      <c r="AF29" s="87">
        <f>IF(ISNUMBER('Income Statement'!C29)=TRUE,'Income Statement'!C29,0)</f>
        <v>0</v>
      </c>
      <c r="AG29" s="87"/>
      <c r="AH29" s="87">
        <f>IF(ISNUMBER('Statement of Cash Flows'!C29)=TRUE,'Statement of Cash Flows'!C29,0)</f>
        <v>1972000</v>
      </c>
    </row>
    <row r="30" spans="2:34" x14ac:dyDescent="0.45">
      <c r="B30" s="3"/>
      <c r="C30" s="6" t="s">
        <v>106</v>
      </c>
      <c r="D30" s="32" t="s">
        <v>140</v>
      </c>
      <c r="E30" s="44">
        <f>IF(ISNUMBER($AA30)=TRUE,$AA30,"n.a.")</f>
        <v>5.6324720990674209</v>
      </c>
      <c r="F30" s="6"/>
      <c r="G30" s="10"/>
      <c r="H30" s="30"/>
      <c r="AA30" s="87">
        <f>$AF$6/(0.5*($AC$10+$AD$10))</f>
        <v>5.6324720990674209</v>
      </c>
      <c r="AB30" s="87"/>
      <c r="AC30" s="87">
        <f>IF(ISNUMBER('Balance Sheet'!C30)=TRUE,'Balance Sheet'!C30,0)</f>
        <v>6152000</v>
      </c>
      <c r="AD30" s="87">
        <f>IF(ISNUMBER('Balance Sheet'!D30)=TRUE,'Balance Sheet'!D30,0)</f>
        <v>4981000</v>
      </c>
      <c r="AE30" s="87"/>
      <c r="AF30" s="87">
        <f>IF(ISNUMBER('Income Statement'!C30)=TRUE,'Income Statement'!C30,0)</f>
        <v>0</v>
      </c>
      <c r="AG30" s="87"/>
      <c r="AH30" s="87"/>
    </row>
    <row r="31" spans="2:34" x14ac:dyDescent="0.45">
      <c r="B31" s="3"/>
      <c r="C31" s="6" t="s">
        <v>108</v>
      </c>
      <c r="D31" s="32" t="s">
        <v>141</v>
      </c>
      <c r="E31" s="44">
        <f>IF(ISNUMBER($AA31)=TRUE,$AA31,"n.a.")</f>
        <v>64.802806579447363</v>
      </c>
      <c r="F31" s="6"/>
      <c r="G31" s="10"/>
      <c r="H31" s="30"/>
      <c r="AA31" s="87">
        <f>0.5*($AC$10+$AD$10)/($AF$6/365)</f>
        <v>64.802806579447363</v>
      </c>
      <c r="AB31" s="87"/>
      <c r="AC31" s="87">
        <f>IF(ISNUMBER('Balance Sheet'!C31)=TRUE,'Balance Sheet'!C31,0)</f>
        <v>267000</v>
      </c>
      <c r="AD31" s="87">
        <f>IF(ISNUMBER('Balance Sheet'!D31)=TRUE,'Balance Sheet'!D31,0)</f>
        <v>378000</v>
      </c>
      <c r="AE31" s="87"/>
      <c r="AF31" s="87">
        <f>IF(ISNUMBER('Income Statement'!C31)=TRUE,'Income Statement'!C31,0)</f>
        <v>8584000</v>
      </c>
      <c r="AG31" s="87"/>
      <c r="AH31" s="87"/>
    </row>
    <row r="32" spans="2:34" x14ac:dyDescent="0.45">
      <c r="B32" s="3"/>
      <c r="C32" s="6" t="s">
        <v>121</v>
      </c>
      <c r="D32" s="32" t="s">
        <v>142</v>
      </c>
      <c r="E32" s="44">
        <f>IF(ISNUMBER($AA32)=TRUE,$AA32,"n.a.")</f>
        <v>9.728820598006644</v>
      </c>
      <c r="F32" s="6"/>
      <c r="G32" s="10"/>
      <c r="H32" s="30"/>
      <c r="AA32" s="87">
        <f>$AF$5/(0.5*($AC$9+$AD$9))</f>
        <v>9.728820598006644</v>
      </c>
      <c r="AB32" s="87"/>
      <c r="AC32" s="87">
        <f>IF(ISNUMBER('Balance Sheet'!C32)=TRUE,'Balance Sheet'!C32,0)</f>
        <v>0</v>
      </c>
      <c r="AD32" s="87">
        <f>IF(ISNUMBER('Balance Sheet'!D32)=TRUE,'Balance Sheet'!D32,0)</f>
        <v>0</v>
      </c>
      <c r="AE32" s="87"/>
      <c r="AF32" s="87">
        <f>IF(ISNUMBER('Income Statement'!C32)=TRUE,'Income Statement'!C32,0)</f>
        <v>0</v>
      </c>
      <c r="AG32" s="87"/>
      <c r="AH32" s="87"/>
    </row>
    <row r="33" spans="2:34" x14ac:dyDescent="0.45">
      <c r="B33" s="3"/>
      <c r="C33" s="6" t="s">
        <v>110</v>
      </c>
      <c r="D33" s="32" t="s">
        <v>143</v>
      </c>
      <c r="E33" s="44">
        <f>IF(ISNUMBER($AA33)=TRUE,$AA33,"n.a.")</f>
        <v>37.517394459384469</v>
      </c>
      <c r="F33" s="6"/>
      <c r="G33" s="10"/>
      <c r="H33" s="30"/>
      <c r="AA33" s="87">
        <f>0.5*($AC$9+$AD$9)/($AF$5/365)</f>
        <v>37.517394459384469</v>
      </c>
      <c r="AB33" s="87"/>
      <c r="AC33" s="87">
        <f>IF(ISNUMBER('Balance Sheet'!C33)=TRUE,'Balance Sheet'!C33,0)</f>
        <v>56882000</v>
      </c>
      <c r="AD33" s="87">
        <f>IF(ISNUMBER('Balance Sheet'!D33)=TRUE,'Balance Sheet'!D33,0)</f>
        <v>53384000</v>
      </c>
      <c r="AE33" s="87"/>
      <c r="AF33" s="87">
        <f>IF(ISNUMBER('Income Statement'!C33)=TRUE,'Income Statement'!C33,0)</f>
        <v>8584000</v>
      </c>
      <c r="AG33" s="87"/>
      <c r="AH33" s="87"/>
    </row>
    <row r="34" spans="2:34" x14ac:dyDescent="0.45">
      <c r="B34" s="4"/>
      <c r="C34" s="7"/>
      <c r="D34" s="35"/>
      <c r="E34" s="35"/>
      <c r="F34" s="7"/>
      <c r="G34" s="11"/>
      <c r="H34" s="30"/>
      <c r="AA34" s="87"/>
      <c r="AB34" s="87"/>
      <c r="AC34" s="87">
        <f>IF(ISNUMBER('Balance Sheet'!C34)=TRUE,'Balance Sheet'!C34,0)</f>
        <v>0</v>
      </c>
      <c r="AD34" s="87">
        <f>IF(ISNUMBER('Balance Sheet'!D34)=TRUE,'Balance Sheet'!D34,0)</f>
        <v>0</v>
      </c>
      <c r="AE34" s="87"/>
      <c r="AF34" s="87"/>
      <c r="AG34" s="87"/>
      <c r="AH34" s="87"/>
    </row>
    <row r="35" spans="2:34" x14ac:dyDescent="0.45">
      <c r="AA35" s="87"/>
      <c r="AB35" s="87"/>
      <c r="AC35" s="87">
        <f>IF(ISNUMBER('Balance Sheet'!C35)=TRUE,'Balance Sheet'!C35,0)</f>
        <v>0</v>
      </c>
      <c r="AD35" s="87">
        <f>IF(ISNUMBER('Balance Sheet'!D35)=TRUE,'Balance Sheet'!D35,0)</f>
        <v>0</v>
      </c>
      <c r="AE35" s="87"/>
      <c r="AF35" s="87"/>
      <c r="AG35" s="87"/>
      <c r="AH35" s="87"/>
    </row>
    <row r="36" spans="2:34" x14ac:dyDescent="0.45">
      <c r="AA36" s="87"/>
      <c r="AB36" s="87"/>
      <c r="AC36" s="87">
        <f>IF(ISNUMBER('Balance Sheet'!C36)=TRUE,'Balance Sheet'!C36,0)</f>
        <v>0</v>
      </c>
      <c r="AD36" s="87">
        <f>IF(ISNUMBER('Balance Sheet'!D36)=TRUE,'Balance Sheet'!D36,0)</f>
        <v>0</v>
      </c>
      <c r="AE36" s="87"/>
      <c r="AF36" s="87"/>
      <c r="AG36" s="87"/>
      <c r="AH36" s="87"/>
    </row>
    <row r="37" spans="2:34" x14ac:dyDescent="0.45">
      <c r="AA37" s="87"/>
      <c r="AB37" s="87"/>
      <c r="AC37" s="87">
        <f>IF(ISNUMBER('Balance Sheet'!C37)=TRUE,'Balance Sheet'!C37,0)</f>
        <v>0</v>
      </c>
      <c r="AD37" s="87">
        <f>IF(ISNUMBER('Balance Sheet'!D37)=TRUE,'Balance Sheet'!D37,0)</f>
        <v>0</v>
      </c>
      <c r="AE37" s="87"/>
      <c r="AF37" s="87"/>
      <c r="AG37" s="87"/>
      <c r="AH37" s="87"/>
    </row>
    <row r="38" spans="2:34" x14ac:dyDescent="0.45">
      <c r="AA38" s="87"/>
      <c r="AB38" s="87"/>
      <c r="AC38" s="87">
        <f>IF(ISNUMBER('Balance Sheet'!C38)=TRUE,'Balance Sheet'!C38,0)</f>
        <v>0</v>
      </c>
      <c r="AD38" s="87">
        <f>IF(ISNUMBER('Balance Sheet'!D38)=TRUE,'Balance Sheet'!D38,0)</f>
        <v>0</v>
      </c>
      <c r="AE38" s="87"/>
      <c r="AF38" s="87"/>
      <c r="AG38" s="87"/>
      <c r="AH38" s="87"/>
    </row>
    <row r="39" spans="2:34" x14ac:dyDescent="0.45">
      <c r="AA39" s="87"/>
      <c r="AB39" s="87"/>
      <c r="AC39" s="87">
        <f>IF(ISNUMBER('Balance Sheet'!C39)=TRUE,'Balance Sheet'!C39,0)</f>
        <v>1760000</v>
      </c>
      <c r="AD39" s="87">
        <f>IF(ISNUMBER('Balance Sheet'!D39)=TRUE,'Balance Sheet'!D39,0)</f>
        <v>1760000</v>
      </c>
      <c r="AE39" s="87"/>
      <c r="AF39" s="87"/>
      <c r="AG39" s="87"/>
      <c r="AH39" s="87"/>
    </row>
    <row r="40" spans="2:34" x14ac:dyDescent="0.45">
      <c r="AA40" s="87"/>
      <c r="AB40" s="87"/>
      <c r="AC40" s="87">
        <f>IF(ISNUMBER('Balance Sheet'!C40)=TRUE,'Balance Sheet'!C40,0)</f>
        <v>61660000</v>
      </c>
      <c r="AD40" s="87">
        <f>IF(ISNUMBER('Balance Sheet'!D40)=TRUE,'Balance Sheet'!D40,0)</f>
        <v>58045000</v>
      </c>
      <c r="AE40" s="87"/>
      <c r="AF40" s="87"/>
      <c r="AG40" s="87"/>
      <c r="AH40" s="87"/>
    </row>
    <row r="41" spans="2:34" x14ac:dyDescent="0.45">
      <c r="AA41" s="87"/>
      <c r="AB41" s="87"/>
      <c r="AC41" s="87">
        <f>IF(ISNUMBER('Balance Sheet'!C41)=TRUE,'Balance Sheet'!C41,0)</f>
        <v>-39091000</v>
      </c>
      <c r="AD41" s="87">
        <f>IF(ISNUMBER('Balance Sheet'!D41)=TRUE,'Balance Sheet'!D41,0)</f>
        <v>-35009000</v>
      </c>
      <c r="AE41" s="87"/>
      <c r="AF41" s="87"/>
      <c r="AG41" s="87"/>
      <c r="AH41" s="87"/>
    </row>
    <row r="42" spans="2:34" x14ac:dyDescent="0.45">
      <c r="AA42" s="87"/>
      <c r="AB42" s="87"/>
      <c r="AC42" s="87">
        <f>IF(ISNUMBER('Balance Sheet'!C42)=TRUE,'Balance Sheet'!C42,0)</f>
        <v>12276000</v>
      </c>
      <c r="AD42" s="87">
        <f>IF(ISNUMBER('Balance Sheet'!D42)=TRUE,'Balance Sheet'!D42,0)</f>
        <v>11379000</v>
      </c>
      <c r="AE42" s="87"/>
      <c r="AF42" s="87"/>
      <c r="AG42" s="87"/>
      <c r="AH42" s="87"/>
    </row>
    <row r="43" spans="2:34" x14ac:dyDescent="0.45">
      <c r="AA43" s="87"/>
      <c r="AB43" s="87"/>
      <c r="AC43" s="87">
        <f>IF(ISNUMBER('Balance Sheet'!C43)=TRUE,'Balance Sheet'!C43,0)</f>
        <v>-3432000</v>
      </c>
      <c r="AD43" s="87">
        <f>IF(ISNUMBER('Balance Sheet'!D43)=TRUE,'Balance Sheet'!D43,0)</f>
        <v>-3385000</v>
      </c>
      <c r="AE43" s="87"/>
      <c r="AF43" s="87"/>
      <c r="AG43" s="87"/>
      <c r="AH43" s="87"/>
    </row>
    <row r="44" spans="2:34" x14ac:dyDescent="0.45">
      <c r="AA44" s="87"/>
      <c r="AB44" s="87"/>
      <c r="AC44" s="87">
        <f>IF(ISNUMBER('Balance Sheet'!C44)=TRUE,'Balance Sheet'!C44,0)</f>
        <v>33173000</v>
      </c>
      <c r="AD44" s="87">
        <f>IF(ISNUMBER('Balance Sheet'!D44)=TRUE,'Balance Sheet'!D44,0)</f>
        <v>32790000</v>
      </c>
      <c r="AE44" s="87"/>
      <c r="AF44" s="87"/>
      <c r="AG44" s="87"/>
      <c r="AH44" s="87"/>
    </row>
    <row r="45" spans="2:34" x14ac:dyDescent="0.45">
      <c r="AA45" s="87"/>
      <c r="AB45" s="87"/>
      <c r="AC45" s="87">
        <f>IF(ISNUMBER('Balance Sheet'!C45)=TRUE,'Balance Sheet'!C45,0)</f>
        <v>5562000</v>
      </c>
      <c r="AD45" s="87">
        <f>IF(ISNUMBER('Balance Sheet'!D45)=TRUE,'Balance Sheet'!D45,0)</f>
        <v>5453000</v>
      </c>
      <c r="AE45" s="87"/>
      <c r="AF45" s="87"/>
      <c r="AG45" s="87"/>
      <c r="AH45" s="87"/>
    </row>
    <row r="46" spans="2:34" x14ac:dyDescent="0.45">
      <c r="AA46" s="87"/>
      <c r="AB46" s="87"/>
      <c r="AC46" s="87"/>
      <c r="AD46" s="87"/>
      <c r="AE46" s="87"/>
      <c r="AF46" s="87"/>
      <c r="AG46" s="87"/>
      <c r="AH46" s="87"/>
    </row>
    <row r="47" spans="2:34" x14ac:dyDescent="0.45">
      <c r="AA47" s="87"/>
      <c r="AB47" s="87"/>
      <c r="AC47" s="87"/>
      <c r="AD47" s="87"/>
      <c r="AE47" s="87"/>
      <c r="AF47" s="87"/>
      <c r="AG47" s="87"/>
      <c r="AH47" s="87"/>
    </row>
    <row r="48" spans="2:34" x14ac:dyDescent="0.45">
      <c r="AA48" s="87"/>
      <c r="AB48" s="87"/>
      <c r="AC48" s="87"/>
      <c r="AD48" s="87"/>
      <c r="AE48" s="87"/>
      <c r="AF48" s="87"/>
      <c r="AG48" s="87"/>
      <c r="AH48" s="87"/>
    </row>
  </sheetData>
  <sheetProtection password="DC54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6"/>
  <sheetViews>
    <sheetView showRowColHeaders="0" topLeftCell="A37" workbookViewId="0">
      <selection activeCell="I38" sqref="I38"/>
    </sheetView>
  </sheetViews>
  <sheetFormatPr defaultColWidth="9.1328125" defaultRowHeight="14.25" x14ac:dyDescent="0.45"/>
  <cols>
    <col min="1" max="1" width="20.1328125" style="1" customWidth="1"/>
    <col min="2" max="2" width="7.86328125" style="1" customWidth="1"/>
    <col min="3" max="3" width="27.1328125" style="1" customWidth="1"/>
    <col min="4" max="4" width="17.59765625" style="1" customWidth="1"/>
    <col min="5" max="5" width="17.265625" style="1" bestFit="1" customWidth="1"/>
    <col min="6" max="6" width="22.265625" style="1" customWidth="1"/>
    <col min="7" max="7" width="3.3984375" style="1" customWidth="1"/>
    <col min="8" max="16384" width="9.1328125" style="1"/>
  </cols>
  <sheetData>
    <row r="1" spans="2:6" ht="30" customHeight="1" x14ac:dyDescent="0.45"/>
    <row r="2" spans="2:6" x14ac:dyDescent="0.45">
      <c r="B2" s="89" t="str">
        <f>'Balance Sheet'!A1</f>
        <v>Ticker</v>
      </c>
      <c r="C2" s="90" t="str">
        <f>'Balance Sheet'!B1</f>
        <v>KO</v>
      </c>
      <c r="D2" s="5"/>
      <c r="E2" s="5"/>
      <c r="F2" s="91"/>
    </row>
    <row r="3" spans="2:6" x14ac:dyDescent="0.45">
      <c r="B3" s="92" t="str">
        <f>'Balance Sheet'!A2</f>
        <v>Balance Sheet for The Coca</v>
      </c>
      <c r="C3" s="61"/>
      <c r="D3" s="6"/>
      <c r="E3" s="6"/>
      <c r="F3" s="93"/>
    </row>
    <row r="4" spans="2:6" x14ac:dyDescent="0.45">
      <c r="B4" s="3" t="str">
        <f>'Balance Sheet'!A3</f>
        <v>Period Ending</v>
      </c>
      <c r="C4" s="6"/>
      <c r="D4" s="94">
        <f>'Balance Sheet'!C3</f>
        <v>41639</v>
      </c>
      <c r="E4" s="94">
        <f>'Balance Sheet'!D3</f>
        <v>41274</v>
      </c>
      <c r="F4" s="95">
        <f>'Balance Sheet'!E3</f>
        <v>40908</v>
      </c>
    </row>
    <row r="5" spans="2:6" x14ac:dyDescent="0.45">
      <c r="B5" s="3"/>
      <c r="C5" s="6"/>
      <c r="D5" s="6"/>
      <c r="E5" s="6"/>
      <c r="F5" s="10"/>
    </row>
    <row r="6" spans="2:6" x14ac:dyDescent="0.45">
      <c r="B6" s="92" t="str">
        <f>'Balance Sheet'!A5</f>
        <v>Assets</v>
      </c>
      <c r="C6" s="6"/>
      <c r="D6" s="6"/>
      <c r="E6" s="6"/>
      <c r="F6" s="10"/>
    </row>
    <row r="7" spans="2:6" x14ac:dyDescent="0.45">
      <c r="B7" s="92" t="str">
        <f>'Balance Sheet'!A6</f>
        <v>Current Assets</v>
      </c>
      <c r="C7" s="6"/>
      <c r="D7" s="6"/>
      <c r="E7" s="6"/>
      <c r="F7" s="10"/>
    </row>
    <row r="8" spans="2:6" x14ac:dyDescent="0.45">
      <c r="B8" s="3"/>
      <c r="C8" s="103" t="str">
        <f>'Balance Sheet'!B7</f>
        <v>Cash and Cash Equivalent</v>
      </c>
      <c r="D8" s="98">
        <f>IF(ISNUMBER('Balance Sheet'!C7)=TRUE,100*'Balance Sheet'!C7/'Balance Sheet'!C$20,"-")</f>
        <v>11.564044195214036</v>
      </c>
      <c r="E8" s="98">
        <f>IF(ISNUMBER('Balance Sheet'!D7)=TRUE,100*'Balance Sheet'!D7/'Balance Sheet'!D$20,"-")</f>
        <v>9.7964583284981543</v>
      </c>
      <c r="F8" s="99">
        <f>IF(ISNUMBER('Balance Sheet'!E7)=TRUE,100*'Balance Sheet'!E7/'Balance Sheet'!E$20,"-")</f>
        <v>16.008952909695651</v>
      </c>
    </row>
    <row r="9" spans="2:6" x14ac:dyDescent="0.45">
      <c r="B9" s="3"/>
      <c r="C9" s="6" t="str">
        <f>'Balance Sheet'!B8</f>
        <v>Short Term Investments</v>
      </c>
      <c r="D9" s="98">
        <f>IF(ISNUMBER('Balance Sheet'!C8)=TRUE,100*'Balance Sheet'!C8/'Balance Sheet'!C$20,"-")</f>
        <v>10.942201987674199</v>
      </c>
      <c r="E9" s="98">
        <f>IF(ISNUMBER('Balance Sheet'!D8)=TRUE,100*'Balance Sheet'!D8/'Balance Sheet'!D$20,"-")</f>
        <v>9.4100308677791453</v>
      </c>
      <c r="F9" s="99">
        <f>IF(ISNUMBER('Balance Sheet'!E8)=TRUE,100*'Balance Sheet'!E8/'Balance Sheet'!E$20,"-")</f>
        <v>1.5405006627153826</v>
      </c>
    </row>
    <row r="10" spans="2:6" x14ac:dyDescent="0.45">
      <c r="B10" s="3"/>
      <c r="C10" s="6" t="str">
        <f>'Balance Sheet'!B9</f>
        <v>Net Receivables</v>
      </c>
      <c r="D10" s="98">
        <f>IF(ISNUMBER('Balance Sheet'!C9)=TRUE,100*'Balance Sheet'!C9/'Balance Sheet'!C$20,"-")</f>
        <v>5.411137638110044</v>
      </c>
      <c r="E10" s="98">
        <f>IF(ISNUMBER('Balance Sheet'!D9)=TRUE,100*'Balance Sheet'!D9/'Balance Sheet'!D$20,"-")</f>
        <v>5.5225474040894005</v>
      </c>
      <c r="F10" s="99">
        <f>IF(ISNUMBER('Balance Sheet'!E9)=TRUE,100*'Balance Sheet'!E9/'Balance Sheet'!E$20,"-")</f>
        <v>6.1519993998049367</v>
      </c>
    </row>
    <row r="11" spans="2:6" x14ac:dyDescent="0.45">
      <c r="B11" s="3"/>
      <c r="C11" s="6" t="str">
        <f>'Balance Sheet'!B10</f>
        <v>Inventory</v>
      </c>
      <c r="D11" s="98">
        <f>IF(ISNUMBER('Balance Sheet'!C10)=TRUE,100*'Balance Sheet'!C10/'Balance Sheet'!C$20,"-")</f>
        <v>3.6388873466215093</v>
      </c>
      <c r="E11" s="98">
        <f>IF(ISNUMBER('Balance Sheet'!D10)=TRUE,100*'Balance Sheet'!D10/'Balance Sheet'!D$20,"-")</f>
        <v>3.7876853807412907</v>
      </c>
      <c r="F11" s="99">
        <f>IF(ISNUMBER('Balance Sheet'!E10)=TRUE,100*'Balance Sheet'!E10/'Balance Sheet'!E$20,"-")</f>
        <v>3.8662565333733463</v>
      </c>
    </row>
    <row r="12" spans="2:6" x14ac:dyDescent="0.45">
      <c r="B12" s="3"/>
      <c r="C12" s="6" t="str">
        <f>'Balance Sheet'!B11</f>
        <v>Other Current Assets</v>
      </c>
      <c r="D12" s="98">
        <f>IF(ISNUMBER('Balance Sheet'!C11)=TRUE,100*'Balance Sheet'!C11/'Balance Sheet'!C$20,"-")</f>
        <v>3.2047082338570871</v>
      </c>
      <c r="E12" s="98">
        <f>IF(ISNUMBER('Balance Sheet'!D11)=TRUE,100*'Balance Sheet'!D11/'Balance Sheet'!D$20,"-")</f>
        <v>6.6771880149465037</v>
      </c>
      <c r="F12" s="99">
        <f>IF(ISNUMBER('Balance Sheet'!E11)=TRUE,100*'Balance Sheet'!E11/'Balance Sheet'!E$20,"-")</f>
        <v>4.3139020181559005</v>
      </c>
    </row>
    <row r="13" spans="2:6" x14ac:dyDescent="0.45">
      <c r="B13" s="92" t="str">
        <f>'Balance Sheet'!A12</f>
        <v>Total Current Assets</v>
      </c>
      <c r="C13" s="6"/>
      <c r="D13" s="98">
        <f>IF(ISNUMBER('Balance Sheet'!C12)=TRUE,100*'Balance Sheet'!C12/'Balance Sheet'!C$20,"-")</f>
        <v>34.760979401476874</v>
      </c>
      <c r="E13" s="98">
        <f>IF(ISNUMBER('Balance Sheet'!D12)=TRUE,100*'Balance Sheet'!D12/'Balance Sheet'!D$20,"-")</f>
        <v>35.193909996054494</v>
      </c>
      <c r="F13" s="99">
        <f>IF(ISNUMBER('Balance Sheet'!E12)=TRUE,100*'Balance Sheet'!E12/'Balance Sheet'!E$20,"-")</f>
        <v>31.881611523745217</v>
      </c>
    </row>
    <row r="14" spans="2:6" x14ac:dyDescent="0.45">
      <c r="B14" s="3" t="str">
        <f>'Balance Sheet'!A13</f>
        <v>Long Term Investments</v>
      </c>
      <c r="C14" s="6"/>
      <c r="D14" s="98">
        <f>IF(ISNUMBER('Balance Sheet'!C13)=TRUE,100*'Balance Sheet'!C13/'Balance Sheet'!C$20,"-")</f>
        <v>12.783299094997501</v>
      </c>
      <c r="E14" s="98">
        <f>IF(ISNUMBER('Balance Sheet'!D13)=TRUE,100*'Balance Sheet'!D13/'Balance Sheet'!D$20,"-")</f>
        <v>12.124306635412074</v>
      </c>
      <c r="F14" s="99">
        <f>IF(ISNUMBER('Balance Sheet'!E13)=TRUE,100*'Balance Sheet'!E13/'Balance Sheet'!E$20,"-")</f>
        <v>10.470903043489134</v>
      </c>
    </row>
    <row r="15" spans="2:6" x14ac:dyDescent="0.45">
      <c r="B15" s="3" t="str">
        <f>'Balance Sheet'!A14</f>
        <v>Property Plant and Equipment</v>
      </c>
      <c r="C15" s="6"/>
      <c r="D15" s="98">
        <f>IF(ISNUMBER('Balance Sheet'!C14)=TRUE,100*'Balance Sheet'!C14/'Balance Sheet'!C$20,"-")</f>
        <v>16.619843429015603</v>
      </c>
      <c r="E15" s="98">
        <f>IF(ISNUMBER('Balance Sheet'!D14)=TRUE,100*'Balance Sheet'!D14/'Balance Sheet'!D$20,"-")</f>
        <v>16.798570334439621</v>
      </c>
      <c r="F15" s="99">
        <f>IF(ISNUMBER('Balance Sheet'!E14)=TRUE,100*'Balance Sheet'!E14/'Balance Sheet'!E$20,"-")</f>
        <v>18.679820941806089</v>
      </c>
    </row>
    <row r="16" spans="2:6" x14ac:dyDescent="0.45">
      <c r="B16" s="3" t="str">
        <f>'Balance Sheet'!A15</f>
        <v>Goodwill</v>
      </c>
      <c r="C16" s="6"/>
      <c r="D16" s="98">
        <f>IF(ISNUMBER('Balance Sheet'!C15)=TRUE,100*'Balance Sheet'!C15/'Balance Sheet'!C$20,"-")</f>
        <v>13.671645105768697</v>
      </c>
      <c r="E16" s="98">
        <f>IF(ISNUMBER('Balance Sheet'!D15)=TRUE,100*'Balance Sheet'!D15/'Balance Sheet'!D$20,"-")</f>
        <v>14.221226820154572</v>
      </c>
      <c r="F16" s="99">
        <f>IF(ISNUMBER('Balance Sheet'!E15)=TRUE,100*'Balance Sheet'!E15/'Balance Sheet'!E$20,"-")</f>
        <v>15.278715582564333</v>
      </c>
    </row>
    <row r="17" spans="2:6" x14ac:dyDescent="0.45">
      <c r="B17" s="3" t="str">
        <f>'Balance Sheet'!A16</f>
        <v>Intangible Assets</v>
      </c>
      <c r="C17" s="6"/>
      <c r="D17" s="98">
        <f>IF(ISNUMBER('Balance Sheet'!C16)=TRUE,100*'Balance Sheet'!C16/'Balance Sheet'!C$20,"-")</f>
        <v>16.988507023485649</v>
      </c>
      <c r="E17" s="98">
        <f>IF(ISNUMBER('Balance Sheet'!D16)=TRUE,100*'Balance Sheet'!D16/'Balance Sheet'!D$20,"-")</f>
        <v>17.501798686378724</v>
      </c>
      <c r="F17" s="99">
        <f>IF(ISNUMBER('Balance Sheet'!E16)=TRUE,100*'Balance Sheet'!E16/'Balance Sheet'!E$20,"-")</f>
        <v>19.318778603045988</v>
      </c>
    </row>
    <row r="18" spans="2:6" x14ac:dyDescent="0.45">
      <c r="B18" s="3" t="str">
        <f>'Balance Sheet'!A17</f>
        <v>Accumulated Amortization</v>
      </c>
      <c r="C18" s="6"/>
      <c r="D18" s="98" t="str">
        <f>IF(ISNUMBER('Balance Sheet'!C17)=TRUE,100*'Balance Sheet'!C17/'Balance Sheet'!C$20,"-")</f>
        <v>-</v>
      </c>
      <c r="E18" s="98" t="str">
        <f>IF(ISNUMBER('Balance Sheet'!D17)=TRUE,100*'Balance Sheet'!D17/'Balance Sheet'!D$20,"-")</f>
        <v>-</v>
      </c>
      <c r="F18" s="99" t="str">
        <f>IF(ISNUMBER('Balance Sheet'!E17)=TRUE,100*'Balance Sheet'!E17/'Balance Sheet'!E$20,"-")</f>
        <v>-</v>
      </c>
    </row>
    <row r="19" spans="2:6" x14ac:dyDescent="0.45">
      <c r="B19" s="3" t="str">
        <f>'Balance Sheet'!A18</f>
        <v>Other Assets</v>
      </c>
      <c r="C19" s="6"/>
      <c r="D19" s="98">
        <f>IF(ISNUMBER('Balance Sheet'!C18)=TRUE,100*'Balance Sheet'!C18/'Balance Sheet'!C$20,"-")</f>
        <v>5.1757259452556772</v>
      </c>
      <c r="E19" s="98">
        <f>IF(ISNUMBER('Balance Sheet'!D18)=TRUE,100*'Balance Sheet'!D18/'Balance Sheet'!D$20,"-")</f>
        <v>4.1601875275605167</v>
      </c>
      <c r="F19" s="99">
        <f>IF(ISNUMBER('Balance Sheet'!E18)=TRUE,100*'Balance Sheet'!E18/'Balance Sheet'!E$20,"-")</f>
        <v>4.3701703053492382</v>
      </c>
    </row>
    <row r="20" spans="2:6" x14ac:dyDescent="0.45">
      <c r="B20" s="3" t="str">
        <f>'Balance Sheet'!A19</f>
        <v>Deferred Long Term Asset Charges</v>
      </c>
      <c r="C20" s="6"/>
      <c r="D20" s="98" t="str">
        <f>IF(ISNUMBER('Balance Sheet'!C19)=TRUE,100*'Balance Sheet'!C19/'Balance Sheet'!C$20,"-")</f>
        <v>-</v>
      </c>
      <c r="E20" s="98" t="str">
        <f>IF(ISNUMBER('Balance Sheet'!D19)=TRUE,100*'Balance Sheet'!D19/'Balance Sheet'!D$20,"-")</f>
        <v>-</v>
      </c>
      <c r="F20" s="99" t="str">
        <f>IF(ISNUMBER('Balance Sheet'!E19)=TRUE,100*'Balance Sheet'!E19/'Balance Sheet'!E$20,"-")</f>
        <v>-</v>
      </c>
    </row>
    <row r="21" spans="2:6" x14ac:dyDescent="0.45">
      <c r="B21" s="92" t="str">
        <f>'Balance Sheet'!A20</f>
        <v>Total Assets</v>
      </c>
      <c r="C21" s="6"/>
      <c r="D21" s="98">
        <f>IF(ISNUMBER('Balance Sheet'!C20)=TRUE,100*'Balance Sheet'!C20/'Balance Sheet'!C$20,"-")</f>
        <v>100</v>
      </c>
      <c r="E21" s="98">
        <f>IF(ISNUMBER('Balance Sheet'!D20)=TRUE,100*'Balance Sheet'!D20/'Balance Sheet'!D$20,"-")</f>
        <v>100</v>
      </c>
      <c r="F21" s="99">
        <f>IF(ISNUMBER('Balance Sheet'!E20)=TRUE,100*'Balance Sheet'!E20/'Balance Sheet'!E$20,"-")</f>
        <v>100</v>
      </c>
    </row>
    <row r="22" spans="2:6" x14ac:dyDescent="0.45">
      <c r="B22" s="3"/>
      <c r="C22" s="6"/>
      <c r="D22" s="6"/>
      <c r="E22" s="6"/>
      <c r="F22" s="10"/>
    </row>
    <row r="23" spans="2:6" x14ac:dyDescent="0.45">
      <c r="B23" s="92" t="str">
        <f>'Balance Sheet'!A22</f>
        <v>Liabilities</v>
      </c>
      <c r="C23" s="6"/>
      <c r="D23" s="6"/>
      <c r="E23" s="6"/>
      <c r="F23" s="10"/>
    </row>
    <row r="24" spans="2:6" x14ac:dyDescent="0.45">
      <c r="B24" s="3" t="str">
        <f>'Balance Sheet'!A23</f>
        <v>Current Liabilities</v>
      </c>
      <c r="C24" s="6"/>
      <c r="D24" s="6"/>
      <c r="E24" s="6"/>
      <c r="F24" s="10"/>
    </row>
    <row r="25" spans="2:6" x14ac:dyDescent="0.45">
      <c r="B25" s="3"/>
      <c r="C25" s="6" t="str">
        <f>'Balance Sheet'!B24</f>
        <v>Accounts Payable</v>
      </c>
      <c r="D25" s="98">
        <f>IF(ISNUMBER('Balance Sheet'!C24)=TRUE,100*'Balance Sheet'!C24/'Balance Sheet'!C$20,"-")</f>
        <v>10.977735828105047</v>
      </c>
      <c r="E25" s="98">
        <f>IF(ISNUMBER('Balance Sheet'!D24)=TRUE,100*'Balance Sheet'!D24/'Balance Sheet'!D$20,"-")</f>
        <v>10.619212291410403</v>
      </c>
      <c r="F25" s="99">
        <f>IF(ISNUMBER('Balance Sheet'!E24)=TRUE,100*'Balance Sheet'!E24/'Balance Sheet'!E$20,"-")</f>
        <v>11.717558206417085</v>
      </c>
    </row>
    <row r="26" spans="2:6" x14ac:dyDescent="0.45">
      <c r="B26" s="3"/>
      <c r="C26" s="6" t="str">
        <f>'Balance Sheet'!B25</f>
        <v>Short/Current Long Term Debt</v>
      </c>
      <c r="D26" s="98">
        <f>IF(ISNUMBER('Balance Sheet'!C25)=TRUE,100*'Balance Sheet'!C25/'Balance Sheet'!C$20,"-")</f>
        <v>19.904502803842096</v>
      </c>
      <c r="E26" s="98">
        <f>IF(ISNUMBER('Balance Sheet'!D25)=TRUE,100*'Balance Sheet'!D25/'Balance Sheet'!D$20,"-")</f>
        <v>20.741755053728504</v>
      </c>
      <c r="F26" s="99">
        <f>IF(ISNUMBER('Balance Sheet'!E25)=TRUE,100*'Balance Sheet'!E25/'Balance Sheet'!E$20,"-")</f>
        <v>18.646059969490086</v>
      </c>
    </row>
    <row r="27" spans="2:6" x14ac:dyDescent="0.45">
      <c r="B27" s="3"/>
      <c r="C27" s="6" t="str">
        <f>'Balance Sheet'!B26</f>
        <v>Other Current Liabilities</v>
      </c>
      <c r="D27" s="98" t="str">
        <f>IF(ISNUMBER('Balance Sheet'!C26)=TRUE,100*'Balance Sheet'!C26/'Balance Sheet'!C$20,"-")</f>
        <v>-</v>
      </c>
      <c r="E27" s="98">
        <f>IF(ISNUMBER('Balance Sheet'!D26)=TRUE,100*'Balance Sheet'!D26/'Balance Sheet'!D$20,"-")</f>
        <v>0.92371248868568245</v>
      </c>
      <c r="F27" s="99" t="str">
        <f>IF(ISNUMBER('Balance Sheet'!E26)=TRUE,100*'Balance Sheet'!E26/'Balance Sheet'!E$20,"-")</f>
        <v>-</v>
      </c>
    </row>
    <row r="28" spans="2:6" x14ac:dyDescent="0.45">
      <c r="B28" s="92" t="str">
        <f>'Balance Sheet'!A27</f>
        <v>Total Current Liabilities</v>
      </c>
      <c r="C28" s="6"/>
      <c r="D28" s="98">
        <f>IF(ISNUMBER('Balance Sheet'!C27)=TRUE,100*'Balance Sheet'!C27/'Balance Sheet'!C$20,"-")</f>
        <v>30.882238631947143</v>
      </c>
      <c r="E28" s="98">
        <f>IF(ISNUMBER('Balance Sheet'!D27)=TRUE,100*'Balance Sheet'!D27/'Balance Sheet'!D$20,"-")</f>
        <v>32.28467983382459</v>
      </c>
      <c r="F28" s="99">
        <f>IF(ISNUMBER('Balance Sheet'!E27)=TRUE,100*'Balance Sheet'!E27/'Balance Sheet'!E$20,"-")</f>
        <v>30.36361817590717</v>
      </c>
    </row>
    <row r="29" spans="2:6" x14ac:dyDescent="0.45">
      <c r="B29" s="3" t="str">
        <f>'Balance Sheet'!A28</f>
        <v>Long Term Debt</v>
      </c>
      <c r="C29" s="6"/>
      <c r="D29" s="98">
        <f>IF(ISNUMBER('Balance Sheet'!C28)=TRUE,100*'Balance Sheet'!C28/'Balance Sheet'!C$20,"-")</f>
        <v>21.269224362889346</v>
      </c>
      <c r="E29" s="98">
        <f>IF(ISNUMBER('Balance Sheet'!D28)=TRUE,100*'Balance Sheet'!D28/'Balance Sheet'!D$20,"-")</f>
        <v>17.100285468934945</v>
      </c>
      <c r="F29" s="99">
        <f>IF(ISNUMBER('Balance Sheet'!E28)=TRUE,100*'Balance Sheet'!E28/'Balance Sheet'!E$20,"-")</f>
        <v>17.075549553604922</v>
      </c>
    </row>
    <row r="30" spans="2:6" x14ac:dyDescent="0.45">
      <c r="B30" s="3" t="str">
        <f>'Balance Sheet'!A29</f>
        <v>Other Liabilities</v>
      </c>
      <c r="C30" s="6"/>
      <c r="D30" s="98">
        <f>IF(ISNUMBER('Balance Sheet'!C29)=TRUE,100*'Balance Sheet'!C29/'Balance Sheet'!C$20,"-")</f>
        <v>3.8842929320970518</v>
      </c>
      <c r="E30" s="98">
        <f>IF(ISNUMBER('Balance Sheet'!D29)=TRUE,100*'Balance Sheet'!D29/'Balance Sheet'!D$20,"-")</f>
        <v>6.3453013670016478</v>
      </c>
      <c r="F30" s="99">
        <f>IF(ISNUMBER('Balance Sheet'!E29)=TRUE,100*'Balance Sheet'!E29/'Balance Sheet'!E$20,"-")</f>
        <v>6.7772025908420233</v>
      </c>
    </row>
    <row r="31" spans="2:6" x14ac:dyDescent="0.45">
      <c r="B31" s="3" t="str">
        <f>'Balance Sheet'!A30</f>
        <v>Deferred Long Term Liability Charges</v>
      </c>
      <c r="C31" s="6"/>
      <c r="D31" s="98">
        <f>IF(ISNUMBER('Balance Sheet'!C30)=TRUE,100*'Balance Sheet'!C30/'Balance Sheet'!C$20,"-")</f>
        <v>6.8313808228304929</v>
      </c>
      <c r="E31" s="98">
        <f>IF(ISNUMBER('Balance Sheet'!D30)=TRUE,100*'Balance Sheet'!D30/'Balance Sheet'!D$20,"-")</f>
        <v>5.7801657112354077</v>
      </c>
      <c r="F31" s="99">
        <f>IF(ISNUMBER('Balance Sheet'!E30)=TRUE,100*'Balance Sheet'!E30/'Balance Sheet'!E$20,"-")</f>
        <v>5.8694075574561735</v>
      </c>
    </row>
    <row r="32" spans="2:6" x14ac:dyDescent="0.45">
      <c r="B32" s="3" t="str">
        <f>'Balance Sheet'!A31</f>
        <v>Minority Interest</v>
      </c>
      <c r="C32" s="6"/>
      <c r="D32" s="98">
        <f>IF(ISNUMBER('Balance Sheet'!C31)=TRUE,100*'Balance Sheet'!C31/'Balance Sheet'!C$20,"-")</f>
        <v>0.29648548109488648</v>
      </c>
      <c r="E32" s="98">
        <f>IF(ISNUMBER('Balance Sheet'!D31)=TRUE,100*'Balance Sheet'!D31/'Balance Sheet'!D$20,"-")</f>
        <v>0.43864738784320095</v>
      </c>
      <c r="F32" s="99">
        <f>IF(ISNUMBER('Balance Sheet'!E31)=TRUE,100*'Balance Sheet'!E31/'Balance Sheet'!E$20,"-")</f>
        <v>0.35761622527321379</v>
      </c>
    </row>
    <row r="33" spans="2:6" x14ac:dyDescent="0.45">
      <c r="B33" s="3" t="str">
        <f>'Balance Sheet'!A32</f>
        <v>Negative Goodwill</v>
      </c>
      <c r="C33" s="6"/>
      <c r="D33" s="98" t="str">
        <f>IF(ISNUMBER('Balance Sheet'!C32)=TRUE,100*'Balance Sheet'!C32/'Balance Sheet'!C$20,"-")</f>
        <v>-</v>
      </c>
      <c r="E33" s="98" t="str">
        <f>IF(ISNUMBER('Balance Sheet'!D32)=TRUE,100*'Balance Sheet'!D32/'Balance Sheet'!D$20,"-")</f>
        <v>-</v>
      </c>
      <c r="F33" s="99" t="str">
        <f>IF(ISNUMBER('Balance Sheet'!E32)=TRUE,100*'Balance Sheet'!E32/'Balance Sheet'!E$20,"-")</f>
        <v>-</v>
      </c>
    </row>
    <row r="34" spans="2:6" x14ac:dyDescent="0.45">
      <c r="B34" s="92" t="str">
        <f>'Balance Sheet'!A33</f>
        <v>Total Liabilities</v>
      </c>
      <c r="C34" s="6"/>
      <c r="D34" s="98">
        <f>IF(ISNUMBER('Balance Sheet'!C33)=TRUE,100*'Balance Sheet'!C33/'Balance Sheet'!C$20,"-")</f>
        <v>63.16362223085892</v>
      </c>
      <c r="E34" s="98">
        <f>IF(ISNUMBER('Balance Sheet'!D33)=TRUE,100*'Balance Sheet'!D33/'Balance Sheet'!D$20,"-")</f>
        <v>61.949079768839788</v>
      </c>
      <c r="F34" s="99">
        <f>IF(ISNUMBER('Balance Sheet'!E33)=TRUE,100*'Balance Sheet'!E33/'Balance Sheet'!E$20,"-")</f>
        <v>60.443394103083499</v>
      </c>
    </row>
    <row r="35" spans="2:6" x14ac:dyDescent="0.45">
      <c r="B35" s="3"/>
      <c r="C35" s="6"/>
      <c r="D35" s="98"/>
      <c r="E35" s="98"/>
      <c r="F35" s="99"/>
    </row>
    <row r="36" spans="2:6" x14ac:dyDescent="0.45">
      <c r="B36" s="92" t="str">
        <f>'Balance Sheet'!A35</f>
        <v>StockHolders' Equity</v>
      </c>
      <c r="C36" s="6"/>
      <c r="D36" s="98"/>
      <c r="E36" s="98"/>
      <c r="F36" s="99"/>
    </row>
    <row r="37" spans="2:6" x14ac:dyDescent="0.45">
      <c r="B37" s="3" t="str">
        <f>'Balance Sheet'!A36</f>
        <v>Misc Stocks Options Warrants</v>
      </c>
      <c r="C37" s="6"/>
      <c r="D37" s="98" t="str">
        <f>IF(ISNUMBER('Balance Sheet'!C36)=TRUE,100*'Balance Sheet'!C36/'Balance Sheet'!C$20,"-")</f>
        <v>-</v>
      </c>
      <c r="E37" s="98" t="str">
        <f>IF(ISNUMBER('Balance Sheet'!D36)=TRUE,100*'Balance Sheet'!D36/'Balance Sheet'!D$20,"-")</f>
        <v>-</v>
      </c>
      <c r="F37" s="99" t="str">
        <f>IF(ISNUMBER('Balance Sheet'!E36)=TRUE,100*'Balance Sheet'!E36/'Balance Sheet'!E$20,"-")</f>
        <v>-</v>
      </c>
    </row>
    <row r="38" spans="2:6" x14ac:dyDescent="0.45">
      <c r="B38" s="3" t="str">
        <f>'Balance Sheet'!A37</f>
        <v>Redeemable Preferred Stock</v>
      </c>
      <c r="C38" s="6"/>
      <c r="D38" s="98" t="str">
        <f>IF(ISNUMBER('Balance Sheet'!C37)=TRUE,100*'Balance Sheet'!C37/'Balance Sheet'!C$20,"-")</f>
        <v>-</v>
      </c>
      <c r="E38" s="98" t="str">
        <f>IF(ISNUMBER('Balance Sheet'!D37)=TRUE,100*'Balance Sheet'!D37/'Balance Sheet'!D$20,"-")</f>
        <v>-</v>
      </c>
      <c r="F38" s="99" t="str">
        <f>IF(ISNUMBER('Balance Sheet'!E37)=TRUE,100*'Balance Sheet'!E37/'Balance Sheet'!E$20,"-")</f>
        <v>-</v>
      </c>
    </row>
    <row r="39" spans="2:6" x14ac:dyDescent="0.45">
      <c r="B39" s="3" t="str">
        <f>'Balance Sheet'!A38</f>
        <v>Preferred Stock</v>
      </c>
      <c r="C39" s="6"/>
      <c r="D39" s="98" t="str">
        <f>IF(ISNUMBER('Balance Sheet'!C38)=TRUE,100*'Balance Sheet'!C38/'Balance Sheet'!C$20,"-")</f>
        <v>-</v>
      </c>
      <c r="E39" s="98" t="str">
        <f>IF(ISNUMBER('Balance Sheet'!D38)=TRUE,100*'Balance Sheet'!D38/'Balance Sheet'!D$20,"-")</f>
        <v>-</v>
      </c>
      <c r="F39" s="99" t="str">
        <f>IF(ISNUMBER('Balance Sheet'!E38)=TRUE,100*'Balance Sheet'!E38/'Balance Sheet'!E$20,"-")</f>
        <v>-</v>
      </c>
    </row>
    <row r="40" spans="2:6" x14ac:dyDescent="0.45">
      <c r="B40" s="3" t="str">
        <f>'Balance Sheet'!A39</f>
        <v>Common Stock</v>
      </c>
      <c r="C40" s="6"/>
      <c r="D40" s="98">
        <f>IF(ISNUMBER('Balance Sheet'!C39)=TRUE,100*'Balance Sheet'!C39/'Balance Sheet'!C$20,"-")</f>
        <v>1.9543612236966299</v>
      </c>
      <c r="E40" s="98">
        <f>IF(ISNUMBER('Balance Sheet'!D39)=TRUE,100*'Balance Sheet'!D39/'Balance Sheet'!D$20,"-")</f>
        <v>2.0423793719683432</v>
      </c>
      <c r="F40" s="99">
        <f>IF(ISNUMBER('Balance Sheet'!E39)=TRUE,100*'Balance Sheet'!E39/'Balance Sheet'!E$20,"-")</f>
        <v>2.2007152324505466</v>
      </c>
    </row>
    <row r="41" spans="2:6" x14ac:dyDescent="0.45">
      <c r="B41" s="3" t="str">
        <f>'Balance Sheet'!A40</f>
        <v>Retained Earnings</v>
      </c>
      <c r="C41" s="6"/>
      <c r="D41" s="98">
        <f>IF(ISNUMBER('Balance Sheet'!C40)=TRUE,100*'Balance Sheet'!C40/'Balance Sheet'!C$20,"-")</f>
        <v>68.469268780189878</v>
      </c>
      <c r="E41" s="98">
        <f>IF(ISNUMBER('Balance Sheet'!D40)=TRUE,100*'Balance Sheet'!D40/'Balance Sheet'!D$20,"-")</f>
        <v>67.357903776080946</v>
      </c>
      <c r="F41" s="99">
        <f>IF(ISNUMBER('Balance Sheet'!E40)=TRUE,100*'Balance Sheet'!E40/'Balance Sheet'!E$20,"-")</f>
        <v>67.048040613199291</v>
      </c>
    </row>
    <row r="42" spans="2:6" x14ac:dyDescent="0.45">
      <c r="B42" s="3" t="str">
        <f>'Balance Sheet'!A41</f>
        <v>Treasury Stock</v>
      </c>
      <c r="C42" s="6"/>
      <c r="D42" s="98">
        <f>IF(ISNUMBER('Balance Sheet'!C41)=TRUE,100*'Balance Sheet'!C41/'Balance Sheet'!C$20,"-")</f>
        <v>-43.407917383821001</v>
      </c>
      <c r="E42" s="98">
        <f>IF(ISNUMBER('Balance Sheet'!D41)=TRUE,100*'Balance Sheet'!D41/'Balance Sheet'!D$20,"-")</f>
        <v>-40.625942859795295</v>
      </c>
      <c r="F42" s="99">
        <f>IF(ISNUMBER('Balance Sheet'!E41)=TRUE,100*'Balance Sheet'!E41/'Balance Sheet'!E$20,"-")</f>
        <v>-39.142721384449949</v>
      </c>
    </row>
    <row r="43" spans="2:6" x14ac:dyDescent="0.45">
      <c r="B43" s="3" t="str">
        <f>'Balance Sheet'!A42</f>
        <v>Capital Surplus</v>
      </c>
      <c r="C43" s="6"/>
      <c r="D43" s="98">
        <f>IF(ISNUMBER('Balance Sheet'!C42)=TRUE,100*'Balance Sheet'!C42/'Balance Sheet'!C$20,"-")</f>
        <v>13.631669535283994</v>
      </c>
      <c r="E43" s="98">
        <f>IF(ISNUMBER('Balance Sheet'!D42)=TRUE,100*'Balance Sheet'!D42/'Balance Sheet'!D$20,"-")</f>
        <v>13.204678905470328</v>
      </c>
      <c r="F43" s="99">
        <f>IF(ISNUMBER('Balance Sheet'!E42)=TRUE,100*'Balance Sheet'!E42/'Balance Sheet'!E$20,"-")</f>
        <v>12.919198739590367</v>
      </c>
    </row>
    <row r="44" spans="2:6" x14ac:dyDescent="0.45">
      <c r="B44" s="3" t="str">
        <f>'Balance Sheet'!A43</f>
        <v>Other Stockholder Equity</v>
      </c>
      <c r="C44" s="6"/>
      <c r="D44" s="98">
        <f>IF(ISNUMBER('Balance Sheet'!C43)=TRUE,100*'Balance Sheet'!C43/'Balance Sheet'!C$20,"-")</f>
        <v>-3.811004386208428</v>
      </c>
      <c r="E44" s="98">
        <f>IF(ISNUMBER('Balance Sheet'!D43)=TRUE,100*'Balance Sheet'!D43/'Balance Sheet'!D$20,"-")</f>
        <v>-3.9280989625641145</v>
      </c>
      <c r="F44" s="99">
        <f>IF(ISNUMBER('Balance Sheet'!E43)=TRUE,100*'Balance Sheet'!E43/'Balance Sheet'!E$20,"-")</f>
        <v>-3.4686273038737592</v>
      </c>
    </row>
    <row r="45" spans="2:6" x14ac:dyDescent="0.45">
      <c r="B45" s="92" t="str">
        <f>'Balance Sheet'!A44</f>
        <v>Total Stockholder Equity</v>
      </c>
      <c r="C45" s="6"/>
      <c r="D45" s="98">
        <f>IF(ISNUMBER('Balance Sheet'!C44)=TRUE,100*'Balance Sheet'!C44/'Balance Sheet'!C$20,"-")</f>
        <v>36.83637776914108</v>
      </c>
      <c r="E45" s="98">
        <f>IF(ISNUMBER('Balance Sheet'!D44)=TRUE,100*'Balance Sheet'!D44/'Balance Sheet'!D$20,"-")</f>
        <v>38.050920231160212</v>
      </c>
      <c r="F45" s="99">
        <f>IF(ISNUMBER('Balance Sheet'!E44)=TRUE,100*'Balance Sheet'!E44/'Balance Sheet'!E$20,"-")</f>
        <v>39.556605896916501</v>
      </c>
    </row>
    <row r="46" spans="2:6" x14ac:dyDescent="0.45">
      <c r="B46" s="100" t="str">
        <f>'Balance Sheet'!A45</f>
        <v>Net Tangible Assets</v>
      </c>
      <c r="C46" s="7"/>
      <c r="D46" s="104">
        <f>IF(ISNUMBER('Balance Sheet'!C45)=TRUE,100*'Balance Sheet'!C45/'Balance Sheet'!C$20,"-")</f>
        <v>6.1762256398867361</v>
      </c>
      <c r="E46" s="104">
        <f>IF(ISNUMBER('Balance Sheet'!D45)=TRUE,100*'Balance Sheet'!D45/'Balance Sheet'!D$20,"-")</f>
        <v>6.3278947246269173</v>
      </c>
      <c r="F46" s="105">
        <f>IF(ISNUMBER('Balance Sheet'!E45)=TRUE,100*'Balance Sheet'!E45/'Balance Sheet'!E$20,"-")</f>
        <v>4.9591117113061749</v>
      </c>
    </row>
  </sheetData>
  <sheetProtection password="DC54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34"/>
  <sheetViews>
    <sheetView showGridLines="0" showRowColHeaders="0" topLeftCell="A22" workbookViewId="0">
      <selection activeCell="J6" sqref="J6"/>
    </sheetView>
  </sheetViews>
  <sheetFormatPr defaultColWidth="9.1328125" defaultRowHeight="14.25" x14ac:dyDescent="0.45"/>
  <cols>
    <col min="1" max="1" width="14.265625" style="1" customWidth="1"/>
    <col min="2" max="2" width="6.59765625" style="1" customWidth="1"/>
    <col min="3" max="3" width="33" style="1" customWidth="1"/>
    <col min="4" max="5" width="17.265625" style="1" bestFit="1" customWidth="1"/>
    <col min="6" max="6" width="22.59765625" style="1" customWidth="1"/>
    <col min="7" max="16384" width="9.1328125" style="1"/>
  </cols>
  <sheetData>
    <row r="1" spans="2:6" ht="38.25" customHeight="1" x14ac:dyDescent="0.45"/>
    <row r="2" spans="2:6" x14ac:dyDescent="0.45">
      <c r="B2" s="89" t="str">
        <f>'Income Statement'!A1</f>
        <v>Ticker</v>
      </c>
      <c r="C2" s="90" t="str">
        <f>'Income Statement'!B1</f>
        <v>KO</v>
      </c>
      <c r="D2" s="5"/>
      <c r="E2" s="5"/>
      <c r="F2" s="91"/>
    </row>
    <row r="3" spans="2:6" x14ac:dyDescent="0.45">
      <c r="B3" s="92" t="str">
        <f>'Income Statement'!A2</f>
        <v>Income Statement for The Coca</v>
      </c>
      <c r="C3" s="61"/>
      <c r="D3" s="6"/>
      <c r="E3" s="6"/>
      <c r="F3" s="93"/>
    </row>
    <row r="4" spans="2:6" x14ac:dyDescent="0.45">
      <c r="B4" s="3" t="str">
        <f>'Income Statement'!A3</f>
        <v>Period Ending</v>
      </c>
      <c r="C4" s="6"/>
      <c r="D4" s="94">
        <f>'Income Statement'!C3</f>
        <v>41639</v>
      </c>
      <c r="E4" s="94">
        <f>'Income Statement'!D3</f>
        <v>41274</v>
      </c>
      <c r="F4" s="95">
        <f>'Income Statement'!E3</f>
        <v>40908</v>
      </c>
    </row>
    <row r="5" spans="2:6" x14ac:dyDescent="0.45">
      <c r="B5" s="3"/>
      <c r="C5" s="6"/>
      <c r="D5" s="6"/>
      <c r="E5" s="6"/>
      <c r="F5" s="10"/>
    </row>
    <row r="6" spans="2:6" x14ac:dyDescent="0.45">
      <c r="B6" s="92" t="str">
        <f>'Income Statement'!A5</f>
        <v>Total Revenue</v>
      </c>
      <c r="C6" s="6"/>
      <c r="D6" s="96">
        <f>IF(ISNUMBER('Income Statement'!C5)=TRUE,100*'Income Statement'!C5/'Income Statement'!C$5,"-")</f>
        <v>100</v>
      </c>
      <c r="E6" s="96">
        <f>IF(ISNUMBER('Income Statement'!D5)=TRUE,100*'Income Statement'!D5/'Income Statement'!D$5,"-")</f>
        <v>100</v>
      </c>
      <c r="F6" s="97">
        <f>IF(ISNUMBER('Income Statement'!E5)=TRUE,100*'Income Statement'!E5/'Income Statement'!E$5,"-")</f>
        <v>100</v>
      </c>
    </row>
    <row r="7" spans="2:6" x14ac:dyDescent="0.45">
      <c r="B7" s="3" t="str">
        <f>'Income Statement'!A6</f>
        <v>Cost of Revenue</v>
      </c>
      <c r="C7" s="6"/>
      <c r="D7" s="98">
        <f>IF(ISNUMBER('Income Statement'!C6)=TRUE,100*'Income Statement'!C6/'Income Statement'!C$5,"-")</f>
        <v>39.315746787894312</v>
      </c>
      <c r="E7" s="98">
        <f>IF(ISNUMBER('Income Statement'!D6)=TRUE,100*'Income Statement'!D6/'Income Statement'!D$5,"-")</f>
        <v>39.679696774059188</v>
      </c>
      <c r="F7" s="99">
        <f>IF(ISNUMBER('Income Statement'!E6)=TRUE,100*'Income Statement'!E6/'Income Statement'!E$5,"-")</f>
        <v>39.136693738988441</v>
      </c>
    </row>
    <row r="8" spans="2:6" x14ac:dyDescent="0.45">
      <c r="B8" s="92" t="str">
        <f>'Income Statement'!A7</f>
        <v>Gross Profit</v>
      </c>
      <c r="C8" s="6"/>
      <c r="D8" s="96">
        <f>IF(ISNUMBER('Income Statement'!C7)=TRUE,100*'Income Statement'!C7/'Income Statement'!C$5,"-")</f>
        <v>60.684253212105688</v>
      </c>
      <c r="E8" s="96">
        <f>IF(ISNUMBER('Income Statement'!D7)=TRUE,100*'Income Statement'!D7/'Income Statement'!D$5,"-")</f>
        <v>60.320303225940812</v>
      </c>
      <c r="F8" s="97">
        <f>IF(ISNUMBER('Income Statement'!E7)=TRUE,100*'Income Statement'!E7/'Income Statement'!E$5,"-")</f>
        <v>60.863306261011559</v>
      </c>
    </row>
    <row r="9" spans="2:6" x14ac:dyDescent="0.45">
      <c r="B9" s="3"/>
      <c r="C9" s="6"/>
      <c r="D9" s="98" t="str">
        <f>IF(ISNUMBER('Income Statement'!C8)=TRUE,100*'Income Statement'!C8/'Income Statement'!C$5,"-")</f>
        <v>-</v>
      </c>
      <c r="E9" s="98" t="str">
        <f>IF(ISNUMBER('Income Statement'!D8)=TRUE,100*'Income Statement'!D8/'Income Statement'!D$5,"-")</f>
        <v>-</v>
      </c>
      <c r="F9" s="99" t="str">
        <f>IF(ISNUMBER('Income Statement'!E8)=TRUE,100*'Income Statement'!E8/'Income Statement'!E$5,"-")</f>
        <v>-</v>
      </c>
    </row>
    <row r="10" spans="2:6" x14ac:dyDescent="0.45">
      <c r="B10" s="3"/>
      <c r="C10" s="6" t="str">
        <f>'Income Statement'!B9</f>
        <v>Operating Expenses</v>
      </c>
      <c r="D10" s="98" t="str">
        <f>IF(ISNUMBER('Income Statement'!C9)=TRUE,100*'Income Statement'!C9/'Income Statement'!C$5,"-")</f>
        <v>-</v>
      </c>
      <c r="E10" s="98" t="str">
        <f>IF(ISNUMBER('Income Statement'!D9)=TRUE,100*'Income Statement'!D9/'Income Statement'!D$5,"-")</f>
        <v>-</v>
      </c>
      <c r="F10" s="99" t="str">
        <f>IF(ISNUMBER('Income Statement'!E9)=TRUE,100*'Income Statement'!E9/'Income Statement'!E$5,"-")</f>
        <v>-</v>
      </c>
    </row>
    <row r="11" spans="2:6" x14ac:dyDescent="0.45">
      <c r="B11" s="3"/>
      <c r="C11" s="6" t="str">
        <f>'Income Statement'!B10</f>
        <v>Research &amp; Development</v>
      </c>
      <c r="D11" s="98" t="str">
        <f>IF(ISNUMBER('Income Statement'!C10)=TRUE,100*'Income Statement'!C10/'Income Statement'!C$5,"-")</f>
        <v>-</v>
      </c>
      <c r="E11" s="98" t="str">
        <f>IF(ISNUMBER('Income Statement'!D10)=TRUE,100*'Income Statement'!D10/'Income Statement'!D$5,"-")</f>
        <v>-</v>
      </c>
      <c r="F11" s="99" t="str">
        <f>IF(ISNUMBER('Income Statement'!E10)=TRUE,100*'Income Statement'!E10/'Income Statement'!E$5,"-")</f>
        <v>-</v>
      </c>
    </row>
    <row r="12" spans="2:6" x14ac:dyDescent="0.45">
      <c r="B12" s="3"/>
      <c r="C12" s="6" t="str">
        <f>'Income Statement'!B11</f>
        <v>Selling, General, &amp; Administrative</v>
      </c>
      <c r="D12" s="98">
        <f>IF(ISNUMBER('Income Statement'!C11)=TRUE,100*'Income Statement'!C11/'Income Statement'!C$5,"-")</f>
        <v>38.854740256968455</v>
      </c>
      <c r="E12" s="98">
        <f>IF(ISNUMBER('Income Statement'!D11)=TRUE,100*'Income Statement'!D11/'Income Statement'!D$5,"-")</f>
        <v>37.872003665368517</v>
      </c>
      <c r="F12" s="99">
        <f>IF(ISNUMBER('Income Statement'!E11)=TRUE,100*'Income Statement'!E11/'Income Statement'!E$5,"-")</f>
        <v>39.005629324051391</v>
      </c>
    </row>
    <row r="13" spans="2:6" x14ac:dyDescent="0.45">
      <c r="B13" s="3"/>
      <c r="C13" s="6" t="str">
        <f>'Income Statement'!B12</f>
        <v>Non Recurring</v>
      </c>
      <c r="D13" s="98" t="str">
        <f>IF(ISNUMBER('Income Statement'!C12)=TRUE,100*'Income Statement'!C12/'Income Statement'!C$5,"-")</f>
        <v>-</v>
      </c>
      <c r="E13" s="98" t="str">
        <f>IF(ISNUMBER('Income Statement'!D12)=TRUE,100*'Income Statement'!D12/'Income Statement'!D$5,"-")</f>
        <v>-</v>
      </c>
      <c r="F13" s="99" t="str">
        <f>IF(ISNUMBER('Income Statement'!E12)=TRUE,100*'Income Statement'!E12/'Income Statement'!E$5,"-")</f>
        <v>-</v>
      </c>
    </row>
    <row r="14" spans="2:6" x14ac:dyDescent="0.45">
      <c r="B14" s="3"/>
      <c r="C14" s="6" t="str">
        <f>'Income Statement'!B13</f>
        <v>Others</v>
      </c>
      <c r="D14" s="98" t="str">
        <f>IF(ISNUMBER('Income Statement'!C13)=TRUE,100*'Income Statement'!C13/'Income Statement'!C$5,"-")</f>
        <v>-</v>
      </c>
      <c r="E14" s="98" t="str">
        <f>IF(ISNUMBER('Income Statement'!D13)=TRUE,100*'Income Statement'!D13/'Income Statement'!D$5,"-")</f>
        <v>-</v>
      </c>
      <c r="F14" s="99" t="str">
        <f>IF(ISNUMBER('Income Statement'!E13)=TRUE,100*'Income Statement'!E13/'Income Statement'!E$5,"-")</f>
        <v>-</v>
      </c>
    </row>
    <row r="15" spans="2:6" x14ac:dyDescent="0.45">
      <c r="B15" s="3"/>
      <c r="C15" s="6" t="str">
        <f>'Income Statement'!B14</f>
        <v>Total Operating Expenses</v>
      </c>
      <c r="D15" s="98" t="str">
        <f>IF(ISNUMBER('Income Statement'!C14)=TRUE,100*'Income Statement'!C14/'Income Statement'!C$5,"-")</f>
        <v>-</v>
      </c>
      <c r="E15" s="98" t="str">
        <f>IF(ISNUMBER('Income Statement'!D14)=TRUE,100*'Income Statement'!D14/'Income Statement'!D$5,"-")</f>
        <v>-</v>
      </c>
      <c r="F15" s="99" t="str">
        <f>IF(ISNUMBER('Income Statement'!E14)=TRUE,100*'Income Statement'!E14/'Income Statement'!E$5,"-")</f>
        <v>-</v>
      </c>
    </row>
    <row r="16" spans="2:6" x14ac:dyDescent="0.45">
      <c r="B16" s="92" t="str">
        <f>'Income Statement'!A15</f>
        <v>Operating Income or Loss</v>
      </c>
      <c r="C16" s="6"/>
      <c r="D16" s="96">
        <f>IF(ISNUMBER('Income Statement'!C15)=TRUE,100*'Income Statement'!C15/'Income Statement'!C$5,"-")</f>
        <v>21.829512955137236</v>
      </c>
      <c r="E16" s="96">
        <f>IF(ISNUMBER('Income Statement'!D15)=TRUE,100*'Income Statement'!D15/'Income Statement'!D$5,"-")</f>
        <v>22.448299560572298</v>
      </c>
      <c r="F16" s="97">
        <f>IF(ISNUMBER('Income Statement'!E15)=TRUE,100*'Income Statement'!E15/'Income Statement'!E$5,"-")</f>
        <v>21.857676936960164</v>
      </c>
    </row>
    <row r="17" spans="2:6" x14ac:dyDescent="0.45">
      <c r="B17" s="3"/>
      <c r="C17" s="6"/>
      <c r="D17" s="98" t="str">
        <f>IF(ISNUMBER('Income Statement'!C16)=TRUE,100*'Income Statement'!C16/'Income Statement'!C$5,"-")</f>
        <v>-</v>
      </c>
      <c r="E17" s="98" t="str">
        <f>IF(ISNUMBER('Income Statement'!D16)=TRUE,100*'Income Statement'!D16/'Income Statement'!D$5,"-")</f>
        <v>-</v>
      </c>
      <c r="F17" s="99" t="str">
        <f>IF(ISNUMBER('Income Statement'!E16)=TRUE,100*'Income Statement'!E16/'Income Statement'!E$5,"-")</f>
        <v>-</v>
      </c>
    </row>
    <row r="18" spans="2:6" x14ac:dyDescent="0.45">
      <c r="B18" s="3"/>
      <c r="C18" s="6" t="str">
        <f>'Income Statement'!B17</f>
        <v>Income from Continuing Operations</v>
      </c>
      <c r="D18" s="98" t="str">
        <f>IF(ISNUMBER('Income Statement'!C17)=TRUE,100*'Income Statement'!C17/'Income Statement'!C$5,"-")</f>
        <v>-</v>
      </c>
      <c r="E18" s="98" t="str">
        <f>IF(ISNUMBER('Income Statement'!D17)=TRUE,100*'Income Statement'!D17/'Income Statement'!D$5,"-")</f>
        <v>-</v>
      </c>
      <c r="F18" s="99" t="str">
        <f>IF(ISNUMBER('Income Statement'!E17)=TRUE,100*'Income Statement'!E17/'Income Statement'!E$5,"-")</f>
        <v>-</v>
      </c>
    </row>
    <row r="19" spans="2:6" x14ac:dyDescent="0.45">
      <c r="B19" s="3"/>
      <c r="C19" s="6" t="str">
        <f>'Income Statement'!B18</f>
        <v>Total Other Income/Expenses Net</v>
      </c>
      <c r="D19" s="98">
        <f>IF(ISNUMBER('Income Statement'!C18)=TRUE,100*'Income Statement'!C18/'Income Statement'!C$5,"-")</f>
        <v>2.369061339480087</v>
      </c>
      <c r="E19" s="98">
        <f>IF(ISNUMBER('Income Statement'!D18)=TRUE,100*'Income Statement'!D18/'Income Statement'!D$5,"-")</f>
        <v>1.2662182143824063</v>
      </c>
      <c r="F19" s="99">
        <f>IF(ISNUMBER('Income Statement'!E18)=TRUE,100*'Income Statement'!E18/'Income Statement'!E$5,"-")</f>
        <v>2.174380129775257</v>
      </c>
    </row>
    <row r="20" spans="2:6" x14ac:dyDescent="0.45">
      <c r="B20" s="3"/>
      <c r="C20" s="6" t="str">
        <f>'Income Statement'!B19</f>
        <v>Earnings Before Interest and Taxes</v>
      </c>
      <c r="D20" s="98">
        <f>IF(ISNUMBER('Income Statement'!C19)=TRUE,100*'Income Statement'!C19/'Income Statement'!C$5,"-")</f>
        <v>25.483416570623639</v>
      </c>
      <c r="E20" s="98">
        <f>IF(ISNUMBER('Income Statement'!D19)=TRUE,100*'Income Statement'!D19/'Income Statement'!D$5,"-")</f>
        <v>25.420163692025742</v>
      </c>
      <c r="F20" s="99">
        <f>IF(ISNUMBER('Income Statement'!E19)=TRUE,100*'Income Statement'!E19/'Income Statement'!E$5,"-")</f>
        <v>25.514588973400368</v>
      </c>
    </row>
    <row r="21" spans="2:6" x14ac:dyDescent="0.45">
      <c r="B21" s="3"/>
      <c r="C21" s="6" t="str">
        <f>'Income Statement'!B20</f>
        <v>Interest Expense</v>
      </c>
      <c r="D21" s="98">
        <f>IF(ISNUMBER('Income Statement'!C20)=TRUE,100*'Income Statement'!C20/'Income Statement'!C$5,"-")</f>
        <v>0.98817603619754979</v>
      </c>
      <c r="E21" s="98">
        <f>IF(ISNUMBER('Income Statement'!D20)=TRUE,100*'Income Statement'!D20/'Income Statement'!D$5,"-")</f>
        <v>0.82679051169377515</v>
      </c>
      <c r="F21" s="99">
        <f>IF(ISNUMBER('Income Statement'!E20)=TRUE,100*'Income Statement'!E20/'Income Statement'!E$5,"-")</f>
        <v>0.89596493489751194</v>
      </c>
    </row>
    <row r="22" spans="2:6" x14ac:dyDescent="0.45">
      <c r="B22" s="3"/>
      <c r="C22" s="6" t="str">
        <f>'Income Statement'!B21</f>
        <v>Income Before Tax</v>
      </c>
      <c r="D22" s="98">
        <f>IF(ISNUMBER('Income Statement'!C21)=TRUE,100*'Income Statement'!C21/'Income Statement'!C$5,"-")</f>
        <v>24.495240534426088</v>
      </c>
      <c r="E22" s="98">
        <f>IF(ISNUMBER('Income Statement'!D21)=TRUE,100*'Income Statement'!D21/'Income Statement'!D$5,"-")</f>
        <v>24.593373180331966</v>
      </c>
      <c r="F22" s="99">
        <f>IF(ISNUMBER('Income Statement'!E21)=TRUE,100*'Income Statement'!E21/'Income Statement'!E$5,"-")</f>
        <v>24.618624038502858</v>
      </c>
    </row>
    <row r="23" spans="2:6" x14ac:dyDescent="0.45">
      <c r="B23" s="3"/>
      <c r="C23" s="6" t="str">
        <f>'Income Statement'!B22</f>
        <v>Income Tax Expense</v>
      </c>
      <c r="D23" s="98">
        <f>IF(ISNUMBER('Income Statement'!C22)=TRUE,100*'Income Statement'!C22/'Income Statement'!C$5,"-")</f>
        <v>6.0848593503222776</v>
      </c>
      <c r="E23" s="98">
        <f>IF(ISNUMBER('Income Statement'!D22)=TRUE,100*'Income Statement'!D22/'Income Statement'!D$5,"-")</f>
        <v>5.6709082200054146</v>
      </c>
      <c r="F23" s="99">
        <f>IF(ISNUMBER('Income Statement'!E22)=TRUE,100*'Income Statement'!E22/'Income Statement'!E$5,"-")</f>
        <v>6.0418546689012071</v>
      </c>
    </row>
    <row r="24" spans="2:6" x14ac:dyDescent="0.45">
      <c r="B24" s="3"/>
      <c r="C24" s="6" t="str">
        <f>'Income Statement'!B23</f>
        <v>Minority Interest</v>
      </c>
      <c r="D24" s="98">
        <f>IF(ISNUMBER('Income Statement'!C23)=TRUE,100*'Income Statement'!C23/'Income Statement'!C$5,"-")</f>
        <v>-8.964015879113843E-2</v>
      </c>
      <c r="E24" s="98">
        <f>IF(ISNUMBER('Income Statement'!D23)=TRUE,100*'Income Statement'!D23/'Income Statement'!D$5,"-")</f>
        <v>-0.13953391507174542</v>
      </c>
      <c r="F24" s="99">
        <f>IF(ISNUMBER('Income Statement'!E23)=TRUE,100*'Income Statement'!E23/'Income Statement'!E$5,"-")</f>
        <v>-0.13321301190322718</v>
      </c>
    </row>
    <row r="25" spans="2:6" x14ac:dyDescent="0.45">
      <c r="B25" s="3"/>
      <c r="C25" s="6" t="str">
        <f>'Income Statement'!B24</f>
        <v>Net Income From Continuing Ops</v>
      </c>
      <c r="D25" s="98">
        <f>IF(ISNUMBER('Income Statement'!C24)=TRUE,100*'Income Statement'!C24/'Income Statement'!C$5,"-")</f>
        <v>19.60558330131899</v>
      </c>
      <c r="E25" s="98">
        <f>IF(ISNUMBER('Income Statement'!D24)=TRUE,100*'Income Statement'!D24/'Income Statement'!D$5,"-")</f>
        <v>20.488576962325844</v>
      </c>
      <c r="F25" s="99">
        <f>IF(ISNUMBER('Income Statement'!E24)=TRUE,100*'Income Statement'!E24/'Income Statement'!E$5,"-")</f>
        <v>19.926088264363372</v>
      </c>
    </row>
    <row r="26" spans="2:6" x14ac:dyDescent="0.45">
      <c r="B26" s="3"/>
      <c r="C26" s="6"/>
      <c r="D26" s="98" t="str">
        <f>IF(ISNUMBER('Income Statement'!C25)=TRUE,100*'Income Statement'!C25/'Income Statement'!C$5,"-")</f>
        <v>-</v>
      </c>
      <c r="E26" s="98" t="str">
        <f>IF(ISNUMBER('Income Statement'!D25)=TRUE,100*'Income Statement'!D25/'Income Statement'!D$5,"-")</f>
        <v>-</v>
      </c>
      <c r="F26" s="99" t="str">
        <f>IF(ISNUMBER('Income Statement'!E25)=TRUE,100*'Income Statement'!E25/'Income Statement'!E$5,"-")</f>
        <v>-</v>
      </c>
    </row>
    <row r="27" spans="2:6" x14ac:dyDescent="0.45">
      <c r="B27" s="3"/>
      <c r="C27" s="6" t="str">
        <f>'Income Statement'!B26</f>
        <v>Non-recurring Events</v>
      </c>
      <c r="D27" s="98" t="str">
        <f>IF(ISNUMBER('Income Statement'!C26)=TRUE,100*'Income Statement'!C26/'Income Statement'!C$5,"-")</f>
        <v>-</v>
      </c>
      <c r="E27" s="98" t="str">
        <f>IF(ISNUMBER('Income Statement'!D26)=TRUE,100*'Income Statement'!D26/'Income Statement'!D$5,"-")</f>
        <v>-</v>
      </c>
      <c r="F27" s="99" t="str">
        <f>IF(ISNUMBER('Income Statement'!E26)=TRUE,100*'Income Statement'!E26/'Income Statement'!E$5,"-")</f>
        <v>-</v>
      </c>
    </row>
    <row r="28" spans="2:6" x14ac:dyDescent="0.45">
      <c r="B28" s="3"/>
      <c r="C28" s="6" t="str">
        <f>'Income Statement'!B27</f>
        <v>Discontinued Operations</v>
      </c>
      <c r="D28" s="98" t="str">
        <f>IF(ISNUMBER('Income Statement'!C27)=TRUE,100*'Income Statement'!C27/'Income Statement'!C$5,"-")</f>
        <v>-</v>
      </c>
      <c r="E28" s="98" t="str">
        <f>IF(ISNUMBER('Income Statement'!D27)=TRUE,100*'Income Statement'!D27/'Income Statement'!D$5,"-")</f>
        <v>-</v>
      </c>
      <c r="F28" s="99" t="str">
        <f>IF(ISNUMBER('Income Statement'!E27)=TRUE,100*'Income Statement'!E27/'Income Statement'!E$5,"-")</f>
        <v>-</v>
      </c>
    </row>
    <row r="29" spans="2:6" x14ac:dyDescent="0.45">
      <c r="B29" s="3"/>
      <c r="C29" s="6" t="str">
        <f>'Income Statement'!B28</f>
        <v>Extraordinary Items</v>
      </c>
      <c r="D29" s="98" t="str">
        <f>IF(ISNUMBER('Income Statement'!C28)=TRUE,100*'Income Statement'!C28/'Income Statement'!C$5,"-")</f>
        <v>-</v>
      </c>
      <c r="E29" s="98" t="str">
        <f>IF(ISNUMBER('Income Statement'!D28)=TRUE,100*'Income Statement'!D28/'Income Statement'!D$5,"-")</f>
        <v>-</v>
      </c>
      <c r="F29" s="99" t="str">
        <f>IF(ISNUMBER('Income Statement'!E28)=TRUE,100*'Income Statement'!E28/'Income Statement'!E$5,"-")</f>
        <v>-</v>
      </c>
    </row>
    <row r="30" spans="2:6" x14ac:dyDescent="0.45">
      <c r="B30" s="3"/>
      <c r="C30" s="6" t="str">
        <f>'Income Statement'!B29</f>
        <v>Effect of Accounting Changes</v>
      </c>
      <c r="D30" s="98" t="str">
        <f>IF(ISNUMBER('Income Statement'!C29)=TRUE,100*'Income Statement'!C29/'Income Statement'!C$5,"-")</f>
        <v>-</v>
      </c>
      <c r="E30" s="98" t="str">
        <f>IF(ISNUMBER('Income Statement'!D29)=TRUE,100*'Income Statement'!D29/'Income Statement'!D$5,"-")</f>
        <v>-</v>
      </c>
      <c r="F30" s="99" t="str">
        <f>IF(ISNUMBER('Income Statement'!E29)=TRUE,100*'Income Statement'!E29/'Income Statement'!E$5,"-")</f>
        <v>-</v>
      </c>
    </row>
    <row r="31" spans="2:6" x14ac:dyDescent="0.45">
      <c r="B31" s="3"/>
      <c r="C31" s="6" t="str">
        <f>'Income Statement'!B30</f>
        <v>Other Items</v>
      </c>
      <c r="D31" s="98" t="str">
        <f>IF(ISNUMBER('Income Statement'!C30)=TRUE,100*'Income Statement'!C30/'Income Statement'!C$5,"-")</f>
        <v>-</v>
      </c>
      <c r="E31" s="98" t="str">
        <f>IF(ISNUMBER('Income Statement'!D30)=TRUE,100*'Income Statement'!D30/'Income Statement'!D$5,"-")</f>
        <v>-</v>
      </c>
      <c r="F31" s="99" t="str">
        <f>IF(ISNUMBER('Income Statement'!E30)=TRUE,100*'Income Statement'!E30/'Income Statement'!E$5,"-")</f>
        <v>-</v>
      </c>
    </row>
    <row r="32" spans="2:6" x14ac:dyDescent="0.45">
      <c r="B32" s="92" t="str">
        <f>'Income Statement'!A31</f>
        <v>Net Income</v>
      </c>
      <c r="C32" s="6"/>
      <c r="D32" s="96">
        <f>IF(ISNUMBER('Income Statement'!C31)=TRUE,100*'Income Statement'!C31/'Income Statement'!C$5,"-")</f>
        <v>18.320741025312675</v>
      </c>
      <c r="E32" s="96">
        <f>IF(ISNUMBER('Income Statement'!D31)=TRUE,100*'Income Statement'!D31/'Income Statement'!D$5,"-")</f>
        <v>18.782931045254806</v>
      </c>
      <c r="F32" s="97">
        <f>IF(ISNUMBER('Income Statement'!E31)=TRUE,100*'Income Statement'!E31/'Income Statement'!E$5,"-")</f>
        <v>18.443556357698423</v>
      </c>
    </row>
    <row r="33" spans="2:6" x14ac:dyDescent="0.45">
      <c r="B33" s="3" t="str">
        <f>'Income Statement'!A32</f>
        <v>Preferred Stock And Other Adjustments</v>
      </c>
      <c r="C33" s="6"/>
      <c r="D33" s="98" t="str">
        <f>IF(ISNUMBER('Income Statement'!C32)=TRUE,100*'Income Statement'!C32/'Income Statement'!C$5,"-")</f>
        <v>-</v>
      </c>
      <c r="E33" s="98" t="str">
        <f>IF(ISNUMBER('Income Statement'!D32)=TRUE,100*'Income Statement'!D32/'Income Statement'!D$5,"-")</f>
        <v>-</v>
      </c>
      <c r="F33" s="99" t="str">
        <f>IF(ISNUMBER('Income Statement'!E32)=TRUE,100*'Income Statement'!E32/'Income Statement'!E$5,"-")</f>
        <v>-</v>
      </c>
    </row>
    <row r="34" spans="2:6" x14ac:dyDescent="0.45">
      <c r="B34" s="100" t="str">
        <f>'Income Statement'!A33</f>
        <v>Net Income Applicable to Common Shares</v>
      </c>
      <c r="C34" s="7"/>
      <c r="D34" s="101">
        <f>IF(ISNUMBER('Income Statement'!C33)=TRUE,100*'Income Statement'!C33/'Income Statement'!C$5,"-")</f>
        <v>18.320741025312675</v>
      </c>
      <c r="E34" s="101">
        <f>IF(ISNUMBER('Income Statement'!D33)=TRUE,100*'Income Statement'!D33/'Income Statement'!D$5,"-")</f>
        <v>18.782931045254806</v>
      </c>
      <c r="F34" s="102">
        <f>IF(ISNUMBER('Income Statement'!E33)=TRUE,100*'Income Statement'!E33/'Income Statement'!E$5,"-")</f>
        <v>18.443556357698423</v>
      </c>
    </row>
  </sheetData>
  <sheetProtection password="DC54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0"/>
  <sheetViews>
    <sheetView showGridLines="0" showRowColHeaders="0" workbookViewId="0">
      <selection activeCell="G28" sqref="G28"/>
    </sheetView>
  </sheetViews>
  <sheetFormatPr defaultColWidth="9.1328125" defaultRowHeight="14.25" x14ac:dyDescent="0.45"/>
  <cols>
    <col min="1" max="1" width="9.265625" style="1" customWidth="1"/>
    <col min="2" max="2" width="40.3984375" style="1" customWidth="1"/>
    <col min="3" max="3" width="10.86328125" style="1" bestFit="1" customWidth="1"/>
    <col min="4" max="4" width="11.59765625" style="1" bestFit="1" customWidth="1"/>
    <col min="5" max="5" width="10.59765625" style="1" bestFit="1" customWidth="1"/>
    <col min="6" max="6" width="5.86328125" style="51" customWidth="1"/>
    <col min="7" max="16384" width="9.1328125" style="51"/>
  </cols>
  <sheetData>
    <row r="1" spans="1:8" s="54" customFormat="1" ht="18.75" thickTop="1" thickBot="1" x14ac:dyDescent="0.6">
      <c r="A1" s="63" t="s">
        <v>40</v>
      </c>
      <c r="B1" s="64" t="s">
        <v>157</v>
      </c>
      <c r="C1" s="82"/>
      <c r="D1" s="82"/>
      <c r="E1" s="66" t="s">
        <v>154</v>
      </c>
      <c r="F1" s="82"/>
      <c r="H1" s="81"/>
    </row>
    <row r="2" spans="1:8" ht="14.65" thickTop="1" x14ac:dyDescent="0.45">
      <c r="A2" s="83" t="s">
        <v>160</v>
      </c>
      <c r="B2" s="12"/>
      <c r="C2" s="65"/>
      <c r="D2" s="65"/>
      <c r="E2" s="66" t="s">
        <v>155</v>
      </c>
      <c r="F2" s="65"/>
    </row>
    <row r="3" spans="1:8" s="54" customFormat="1" x14ac:dyDescent="0.45">
      <c r="A3" s="84" t="s">
        <v>0</v>
      </c>
      <c r="B3" s="85"/>
      <c r="C3" s="68">
        <v>41639</v>
      </c>
      <c r="D3" s="68">
        <v>41274</v>
      </c>
      <c r="E3" s="68">
        <v>40908</v>
      </c>
      <c r="F3" s="82"/>
    </row>
    <row r="4" spans="1:8" x14ac:dyDescent="0.45">
      <c r="A4" s="12"/>
      <c r="B4" s="12"/>
      <c r="C4" s="74"/>
      <c r="D4" s="74"/>
      <c r="E4" s="74"/>
      <c r="F4" s="65"/>
    </row>
    <row r="5" spans="1:8" s="54" customFormat="1" x14ac:dyDescent="0.45">
      <c r="A5" s="85" t="s">
        <v>63</v>
      </c>
      <c r="B5" s="85"/>
      <c r="C5" s="69">
        <v>8584000</v>
      </c>
      <c r="D5" s="69">
        <v>9019000</v>
      </c>
      <c r="E5" s="69">
        <v>8584000</v>
      </c>
      <c r="F5" s="82"/>
    </row>
    <row r="6" spans="1:8" x14ac:dyDescent="0.45">
      <c r="A6" s="12"/>
      <c r="B6" s="12"/>
      <c r="C6" s="70"/>
      <c r="D6" s="70"/>
      <c r="E6" s="70"/>
      <c r="F6" s="65"/>
    </row>
    <row r="7" spans="1:8" x14ac:dyDescent="0.45">
      <c r="A7" s="85" t="s">
        <v>66</v>
      </c>
      <c r="B7" s="85"/>
      <c r="C7" s="69"/>
      <c r="D7" s="69"/>
      <c r="E7" s="69"/>
      <c r="F7" s="65"/>
    </row>
    <row r="8" spans="1:8" x14ac:dyDescent="0.45">
      <c r="A8" s="12"/>
      <c r="B8" s="12" t="s">
        <v>67</v>
      </c>
      <c r="C8" s="70">
        <v>1977000</v>
      </c>
      <c r="D8" s="70">
        <v>1982000</v>
      </c>
      <c r="E8" s="70">
        <v>1954000</v>
      </c>
      <c r="F8" s="65"/>
    </row>
    <row r="9" spans="1:8" x14ac:dyDescent="0.45">
      <c r="A9" s="12"/>
      <c r="B9" s="12" t="s">
        <v>68</v>
      </c>
      <c r="C9" s="70">
        <v>871000</v>
      </c>
      <c r="D9" s="70">
        <v>657000</v>
      </c>
      <c r="E9" s="70">
        <v>767000</v>
      </c>
      <c r="F9" s="65"/>
    </row>
    <row r="10" spans="1:8" x14ac:dyDescent="0.45">
      <c r="A10" s="12"/>
      <c r="B10" s="12" t="s">
        <v>69</v>
      </c>
      <c r="C10" s="70" t="s">
        <v>153</v>
      </c>
      <c r="D10" s="70" t="s">
        <v>153</v>
      </c>
      <c r="E10" s="70" t="s">
        <v>153</v>
      </c>
      <c r="F10" s="65"/>
    </row>
    <row r="11" spans="1:8" x14ac:dyDescent="0.45">
      <c r="A11" s="12"/>
      <c r="B11" s="12" t="s">
        <v>70</v>
      </c>
      <c r="C11" s="70" t="s">
        <v>153</v>
      </c>
      <c r="D11" s="70" t="s">
        <v>153</v>
      </c>
      <c r="E11" s="70" t="s">
        <v>153</v>
      </c>
      <c r="F11" s="65"/>
    </row>
    <row r="12" spans="1:8" s="54" customFormat="1" x14ac:dyDescent="0.45">
      <c r="A12" s="12"/>
      <c r="B12" s="12" t="s">
        <v>71</v>
      </c>
      <c r="C12" s="70" t="s">
        <v>153</v>
      </c>
      <c r="D12" s="70" t="s">
        <v>153</v>
      </c>
      <c r="E12" s="70" t="s">
        <v>153</v>
      </c>
      <c r="F12" s="82"/>
    </row>
    <row r="13" spans="1:8" ht="14.65" thickBot="1" x14ac:dyDescent="0.5">
      <c r="A13" s="12"/>
      <c r="B13" s="12" t="s">
        <v>72</v>
      </c>
      <c r="C13" s="70">
        <v>-932000</v>
      </c>
      <c r="D13" s="70">
        <v>-1080000</v>
      </c>
      <c r="E13" s="70">
        <v>-1893000</v>
      </c>
      <c r="F13" s="65"/>
    </row>
    <row r="14" spans="1:8" s="54" customFormat="1" x14ac:dyDescent="0.45">
      <c r="A14" s="86" t="s">
        <v>73</v>
      </c>
      <c r="B14" s="86"/>
      <c r="C14" s="72">
        <v>10542000</v>
      </c>
      <c r="D14" s="72">
        <v>10645000</v>
      </c>
      <c r="E14" s="72">
        <v>9474000</v>
      </c>
      <c r="F14" s="82"/>
    </row>
    <row r="15" spans="1:8" x14ac:dyDescent="0.45">
      <c r="A15" s="12"/>
      <c r="B15" s="12"/>
      <c r="C15" s="70"/>
      <c r="D15" s="70"/>
      <c r="E15" s="70"/>
      <c r="F15" s="65"/>
    </row>
    <row r="16" spans="1:8" x14ac:dyDescent="0.45">
      <c r="A16" s="85" t="s">
        <v>74</v>
      </c>
      <c r="B16" s="85"/>
      <c r="C16" s="69"/>
      <c r="D16" s="69"/>
      <c r="E16" s="69"/>
      <c r="F16" s="65"/>
    </row>
    <row r="17" spans="1:6" x14ac:dyDescent="0.45">
      <c r="A17" s="12"/>
      <c r="B17" s="12" t="s">
        <v>75</v>
      </c>
      <c r="C17" s="70">
        <v>-2550000</v>
      </c>
      <c r="D17" s="70">
        <v>-2780000</v>
      </c>
      <c r="E17" s="70">
        <v>-2920000</v>
      </c>
      <c r="F17" s="65"/>
    </row>
    <row r="18" spans="1:6" s="54" customFormat="1" x14ac:dyDescent="0.45">
      <c r="A18" s="12"/>
      <c r="B18" s="12" t="s">
        <v>76</v>
      </c>
      <c r="C18" s="70">
        <v>-1991000</v>
      </c>
      <c r="D18" s="70">
        <v>-7033000</v>
      </c>
      <c r="E18" s="70">
        <v>1013000</v>
      </c>
      <c r="F18" s="82"/>
    </row>
    <row r="19" spans="1:6" ht="14.65" thickBot="1" x14ac:dyDescent="0.5">
      <c r="A19" s="12"/>
      <c r="B19" s="12" t="s">
        <v>77</v>
      </c>
      <c r="C19" s="70">
        <v>327000</v>
      </c>
      <c r="D19" s="70">
        <v>-1591000</v>
      </c>
      <c r="E19" s="70">
        <v>-617000</v>
      </c>
      <c r="F19" s="65"/>
    </row>
    <row r="20" spans="1:6" s="54" customFormat="1" x14ac:dyDescent="0.45">
      <c r="A20" s="86" t="s">
        <v>78</v>
      </c>
      <c r="B20" s="86"/>
      <c r="C20" s="72">
        <v>-4214000</v>
      </c>
      <c r="D20" s="72">
        <v>-11404000</v>
      </c>
      <c r="E20" s="72">
        <v>-2524000</v>
      </c>
      <c r="F20" s="82"/>
    </row>
    <row r="21" spans="1:6" x14ac:dyDescent="0.45">
      <c r="A21" s="12"/>
      <c r="B21" s="12"/>
      <c r="C21" s="70"/>
      <c r="D21" s="70"/>
      <c r="E21" s="70"/>
      <c r="F21" s="65"/>
    </row>
    <row r="22" spans="1:6" x14ac:dyDescent="0.45">
      <c r="A22" s="85" t="s">
        <v>79</v>
      </c>
      <c r="B22" s="85"/>
      <c r="C22" s="69"/>
      <c r="D22" s="69"/>
      <c r="E22" s="69"/>
      <c r="F22" s="65"/>
    </row>
    <row r="23" spans="1:6" x14ac:dyDescent="0.45">
      <c r="A23" s="12"/>
      <c r="B23" s="12" t="s">
        <v>80</v>
      </c>
      <c r="C23" s="70">
        <v>-4969000</v>
      </c>
      <c r="D23" s="70">
        <v>-4595000</v>
      </c>
      <c r="E23" s="70">
        <v>-4300000</v>
      </c>
      <c r="F23" s="65"/>
    </row>
    <row r="24" spans="1:6" x14ac:dyDescent="0.45">
      <c r="A24" s="12"/>
      <c r="B24" s="12" t="s">
        <v>81</v>
      </c>
      <c r="C24" s="70">
        <v>-3504000</v>
      </c>
      <c r="D24" s="70">
        <v>-3070000</v>
      </c>
      <c r="E24" s="70">
        <v>-2944000</v>
      </c>
      <c r="F24" s="65"/>
    </row>
    <row r="25" spans="1:6" s="54" customFormat="1" x14ac:dyDescent="0.45">
      <c r="A25" s="12"/>
      <c r="B25" s="12" t="s">
        <v>82</v>
      </c>
      <c r="C25" s="70">
        <v>4711000</v>
      </c>
      <c r="D25" s="70">
        <v>4218000</v>
      </c>
      <c r="E25" s="70">
        <v>4965000</v>
      </c>
      <c r="F25" s="82"/>
    </row>
    <row r="26" spans="1:6" ht="14.65" thickBot="1" x14ac:dyDescent="0.5">
      <c r="A26" s="12"/>
      <c r="B26" s="12" t="s">
        <v>83</v>
      </c>
      <c r="C26" s="70">
        <v>17000</v>
      </c>
      <c r="D26" s="70">
        <v>100000</v>
      </c>
      <c r="E26" s="70">
        <v>45000</v>
      </c>
      <c r="F26" s="65"/>
    </row>
    <row r="27" spans="1:6" s="54" customFormat="1" x14ac:dyDescent="0.45">
      <c r="A27" s="86" t="s">
        <v>84</v>
      </c>
      <c r="B27" s="86"/>
      <c r="C27" s="72">
        <v>-3745000</v>
      </c>
      <c r="D27" s="72">
        <v>-3347000</v>
      </c>
      <c r="E27" s="72">
        <v>-2234000</v>
      </c>
      <c r="F27" s="82"/>
    </row>
    <row r="28" spans="1:6" ht="14.65" thickBot="1" x14ac:dyDescent="0.5">
      <c r="A28" s="12"/>
      <c r="B28" s="12" t="s">
        <v>85</v>
      </c>
      <c r="C28" s="70">
        <v>-611000</v>
      </c>
      <c r="D28" s="70">
        <v>-255000</v>
      </c>
      <c r="E28" s="70">
        <v>-430000</v>
      </c>
      <c r="F28" s="65"/>
    </row>
    <row r="29" spans="1:6" x14ac:dyDescent="0.45">
      <c r="A29" s="86" t="s">
        <v>86</v>
      </c>
      <c r="B29" s="86"/>
      <c r="C29" s="72">
        <v>1972000</v>
      </c>
      <c r="D29" s="72">
        <v>-4361000</v>
      </c>
      <c r="E29" s="72">
        <v>4286000</v>
      </c>
      <c r="F29" s="65"/>
    </row>
    <row r="30" spans="1:6" x14ac:dyDescent="0.45">
      <c r="A30" s="59"/>
      <c r="B30" s="59"/>
      <c r="C30" s="59"/>
      <c r="D30" s="59"/>
      <c r="E30" s="59"/>
      <c r="F30" s="65"/>
    </row>
  </sheetData>
  <sheetProtection password="DC54" sheet="1" objects="1" scenarios="1" select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Input</vt:lpstr>
      <vt:lpstr>Balance Sheet</vt:lpstr>
      <vt:lpstr>Income Statement</vt:lpstr>
      <vt:lpstr>Calculate Ratios</vt:lpstr>
      <vt:lpstr>Common-size balance sheet</vt:lpstr>
      <vt:lpstr>Common-size income statement</vt:lpstr>
      <vt:lpstr>Statement of Cash Flows</vt:lpstr>
      <vt:lpstr>complete</vt:lpstr>
      <vt:lpstr>status</vt:lpstr>
      <vt:lpstr>ticker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darienh</dc:creator>
  <cp:lastModifiedBy>Mukesh Dutta</cp:lastModifiedBy>
  <dcterms:created xsi:type="dcterms:W3CDTF">2012-05-19T22:04:12Z</dcterms:created>
  <dcterms:modified xsi:type="dcterms:W3CDTF">2017-03-03T22:56:10Z</dcterms:modified>
</cp:coreProperties>
</file>